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s_Tarifs" sheetId="1" state="visible" r:id="rId3"/>
    <sheet name="Devis_Auto" sheetId="2" state="visible" r:id="rId4"/>
    <sheet name="Devis_Moto" sheetId="3" state="visible" r:id="rId5"/>
    <sheet name="Devis_Habitation" sheetId="4" state="visible" r:id="rId6"/>
    <sheet name="Synthèse_Comparaison" sheetId="5" state="visible" r:id="rId7"/>
    <sheet name="Guide_Utilis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<sst xmlns="http://schemas.openxmlformats.org/spreadsheetml/2006/main" count="251" uniqueCount="203">
  <si>
    <t xml:space="preserve">TABLES DE TARIFICATION</t>
  </si>
  <si>
    <t xml:space="preserve">AUTO – Puissance (CV)</t>
  </si>
  <si>
    <t xml:space="preserve">AUTO – Âge conducteur</t>
  </si>
  <si>
    <t xml:space="preserve">AUTO/MOTO – Kilométrage</t>
  </si>
  <si>
    <t xml:space="preserve">CV Fiscaux</t>
  </si>
  <si>
    <t xml:space="preserve">Coeff. Puissance</t>
  </si>
  <si>
    <t xml:space="preserve">Âge (ans)</t>
  </si>
  <si>
    <t xml:space="preserve">Coeff. Âge</t>
  </si>
  <si>
    <t xml:space="preserve">Km/an (max)</t>
  </si>
  <si>
    <t xml:space="preserve">Coeff. Km</t>
  </si>
  <si>
    <t xml:space="preserve">&lt; 8 000</t>
  </si>
  <si>
    <t xml:space="preserve">8 001–12 000</t>
  </si>
  <si>
    <t xml:space="preserve">12 001–15 000</t>
  </si>
  <si>
    <t xml:space="preserve">15 001–20 000</t>
  </si>
  <si>
    <t xml:space="preserve">20 001–25 000</t>
  </si>
  <si>
    <t xml:space="preserve">&gt; 25 000</t>
  </si>
  <si>
    <t xml:space="preserve">MOTO – Cylindrée</t>
  </si>
  <si>
    <t xml:space="preserve">HAB – Superficie (m²)</t>
  </si>
  <si>
    <t xml:space="preserve">HAB – Valeur mobilier</t>
  </si>
  <si>
    <t xml:space="preserve">Cylindrée (cc)</t>
  </si>
  <si>
    <t xml:space="preserve">Coeff.</t>
  </si>
  <si>
    <t xml:space="preserve">Surface (m²)</t>
  </si>
  <si>
    <t xml:space="preserve">Prime base €</t>
  </si>
  <si>
    <t xml:space="preserve">Valeur (€)</t>
  </si>
  <si>
    <t xml:space="preserve">50</t>
  </si>
  <si>
    <t xml:space="preserve">≤ 30</t>
  </si>
  <si>
    <t xml:space="preserve">&lt; 20 000</t>
  </si>
  <si>
    <t xml:space="preserve">125</t>
  </si>
  <si>
    <t xml:space="preserve">31–50</t>
  </si>
  <si>
    <t xml:space="preserve">20–30 000</t>
  </si>
  <si>
    <t xml:space="preserve">250</t>
  </si>
  <si>
    <t xml:space="preserve">51–70</t>
  </si>
  <si>
    <t xml:space="preserve">30–50 000</t>
  </si>
  <si>
    <t xml:space="preserve">500</t>
  </si>
  <si>
    <t xml:space="preserve">71–90</t>
  </si>
  <si>
    <t xml:space="preserve">50–70 000</t>
  </si>
  <si>
    <t xml:space="preserve">750</t>
  </si>
  <si>
    <t xml:space="preserve">91–110</t>
  </si>
  <si>
    <t xml:space="preserve">70–100 000</t>
  </si>
  <si>
    <t xml:space="preserve">1000</t>
  </si>
  <si>
    <t xml:space="preserve">111–130</t>
  </si>
  <si>
    <t xml:space="preserve">&gt; 100 000</t>
  </si>
  <si>
    <t xml:space="preserve">&gt; 1000</t>
  </si>
  <si>
    <t xml:space="preserve">131–150</t>
  </si>
  <si>
    <t xml:space="preserve">&gt; 150</t>
  </si>
  <si>
    <t xml:space="preserve">🚗  SIMULATEUR DEVIS – ASSURANCE AUTO</t>
  </si>
  <si>
    <t xml:space="preserve">  1.  INFORMATIONS CONDUCTEUR</t>
  </si>
  <si>
    <t xml:space="preserve">Nom / Prénom du client</t>
  </si>
  <si>
    <t xml:space="preserve">Âge du conducteur (ans)</t>
  </si>
  <si>
    <t xml:space="preserve">Ancienneté du permis (ans)</t>
  </si>
  <si>
    <t xml:space="preserve">CRM actuel (ex. 1.00)</t>
  </si>
  <si>
    <t xml:space="preserve">Sinistres responsables (N-1)</t>
  </si>
  <si>
    <t xml:space="preserve">  2.  VÉHICULE</t>
  </si>
  <si>
    <t xml:space="preserve">Marque / Modèle</t>
  </si>
  <si>
    <t xml:space="preserve">Puissance fiscale (CV)</t>
  </si>
  <si>
    <t xml:space="preserve">Âge du véhicule (ans)</t>
  </si>
  <si>
    <t xml:space="preserve">Usage du véhicule</t>
  </si>
  <si>
    <t xml:space="preserve">Privé</t>
  </si>
  <si>
    <t xml:space="preserve">Kilométrage annuel estimé</t>
  </si>
  <si>
    <t xml:space="preserve">Stationnement</t>
  </si>
  <si>
    <t xml:space="preserve">Garage privé</t>
  </si>
  <si>
    <t xml:space="preserve">Zone géographique</t>
  </si>
  <si>
    <t xml:space="preserve">Urbaine</t>
  </si>
  <si>
    <t xml:space="preserve">  3.  GARANTIES &amp; OPTIONS</t>
  </si>
  <si>
    <t xml:space="preserve">Formule principale</t>
  </si>
  <si>
    <t xml:space="preserve">Tiers simple</t>
  </si>
  <si>
    <t xml:space="preserve">Vol &amp; Incendie</t>
  </si>
  <si>
    <t xml:space="preserve">NON</t>
  </si>
  <si>
    <t xml:space="preserve">Bris de glace</t>
  </si>
  <si>
    <t xml:space="preserve">OUI</t>
  </si>
  <si>
    <t xml:space="preserve">Assistance 0 km</t>
  </si>
  <si>
    <t xml:space="preserve">Protection juridique</t>
  </si>
  <si>
    <t xml:space="preserve">Multi-contrat (Habitation)</t>
  </si>
  <si>
    <t xml:space="preserve">  4.  CALCUL DE LA PRIME  (automatique)</t>
  </si>
  <si>
    <t xml:space="preserve">Coeff. jeune conducteur</t>
  </si>
  <si>
    <t xml:space="preserve">Nouveau CRM</t>
  </si>
  <si>
    <t xml:space="preserve">Coeff. puissance (CV)</t>
  </si>
  <si>
    <t xml:space="preserve">Coeff. usage</t>
  </si>
  <si>
    <t xml:space="preserve">Coeff. kilométrage</t>
  </si>
  <si>
    <t xml:space="preserve">Coeff. zone géographique</t>
  </si>
  <si>
    <t xml:space="preserve">Coeff. formule principale</t>
  </si>
  <si>
    <t xml:space="preserve">Majoration vol/incendie</t>
  </si>
  <si>
    <t xml:space="preserve">Majoration bris de glace</t>
  </si>
  <si>
    <t xml:space="preserve">Majoration assistance</t>
  </si>
  <si>
    <t xml:space="preserve">Majoration protection jur.</t>
  </si>
  <si>
    <t xml:space="preserve">Remise multi-contrat</t>
  </si>
  <si>
    <t xml:space="preserve">Prime de référence RC (€)</t>
  </si>
  <si>
    <t xml:space="preserve">✅  PRIME ANNUELLE TOTALE (€)</t>
  </si>
  <si>
    <t xml:space="preserve">  ↳ Prime mensuelle (÷12)</t>
  </si>
  <si>
    <t xml:space="preserve">Mois de couverture (prorata)</t>
  </si>
  <si>
    <t xml:space="preserve">  ↳ Prime prorata (€)</t>
  </si>
  <si>
    <t xml:space="preserve">🏍️  SIMULATEUR DEVIS – ASSURANCE MOTO</t>
  </si>
  <si>
    <t xml:space="preserve">  1.  INFORMATIONS PILOTE</t>
  </si>
  <si>
    <t xml:space="preserve">Nom / Prénom</t>
  </si>
  <si>
    <t xml:space="preserve">Âge du pilote (ans)</t>
  </si>
  <si>
    <t xml:space="preserve">Ancienneté permis (ans)</t>
  </si>
  <si>
    <t xml:space="preserve">CRM actuel</t>
  </si>
  <si>
    <t xml:space="preserve">Sinistres responsables</t>
  </si>
  <si>
    <t xml:space="preserve">  2.  MOTO</t>
  </si>
  <si>
    <t xml:space="preserve">Type de moto</t>
  </si>
  <si>
    <t xml:space="preserve">Roadster</t>
  </si>
  <si>
    <t xml:space="preserve">Âge de la moto (ans)</t>
  </si>
  <si>
    <t xml:space="preserve">Usage</t>
  </si>
  <si>
    <t xml:space="preserve">Loisir</t>
  </si>
  <si>
    <t xml:space="preserve">Box fermé</t>
  </si>
  <si>
    <t xml:space="preserve">Péri-urbaine</t>
  </si>
  <si>
    <t xml:space="preserve">Antivol homologué SRA</t>
  </si>
  <si>
    <t xml:space="preserve">Traceur GPS</t>
  </si>
  <si>
    <t xml:space="preserve">Kilométrage annuel</t>
  </si>
  <si>
    <t xml:space="preserve">  3.  GARANTIES</t>
  </si>
  <si>
    <t xml:space="preserve">Formule</t>
  </si>
  <si>
    <t xml:space="preserve">Intermédiaire</t>
  </si>
  <si>
    <t xml:space="preserve">Vol</t>
  </si>
  <si>
    <t xml:space="preserve">Assistance</t>
  </si>
  <si>
    <t xml:space="preserve">Multi-contrat (Auto/Hab)</t>
  </si>
  <si>
    <t xml:space="preserve">Coeff. jeune permis</t>
  </si>
  <si>
    <t xml:space="preserve">Coeff. cylindrée</t>
  </si>
  <si>
    <t xml:space="preserve">Coeff. type moto</t>
  </si>
  <si>
    <t xml:space="preserve">Coeff. stationnement</t>
  </si>
  <si>
    <t xml:space="preserve">Coeff. zone</t>
  </si>
  <si>
    <t xml:space="preserve">Réduction antivol SRA</t>
  </si>
  <si>
    <t xml:space="preserve">Réduction traceur GPS</t>
  </si>
  <si>
    <t xml:space="preserve">Coeff. formule</t>
  </si>
  <si>
    <t xml:space="preserve">Majoration vol</t>
  </si>
  <si>
    <t xml:space="preserve">  ↳ Prime mensuelle</t>
  </si>
  <si>
    <t xml:space="preserve">🏠  SIMULATEUR DEVIS – ASSURANCE HABITATION</t>
  </si>
  <si>
    <t xml:space="preserve">  1.  INFORMATIONS CLIENT</t>
  </si>
  <si>
    <t xml:space="preserve">Nombre d'occupants</t>
  </si>
  <si>
    <t xml:space="preserve">  2.  LOGEMENT</t>
  </si>
  <si>
    <t xml:space="preserve">Type de logement</t>
  </si>
  <si>
    <t xml:space="preserve">Appartement</t>
  </si>
  <si>
    <t xml:space="preserve">Statut</t>
  </si>
  <si>
    <t xml:space="preserve">Locataire</t>
  </si>
  <si>
    <t xml:space="preserve">Résidence principale</t>
  </si>
  <si>
    <t xml:space="preserve">Surface habitable (m²)</t>
  </si>
  <si>
    <t xml:space="preserve">Nombre de pièces</t>
  </si>
  <si>
    <t xml:space="preserve">Année de construction</t>
  </si>
  <si>
    <t xml:space="preserve">Étage(s)</t>
  </si>
  <si>
    <t xml:space="preserve">Zone inondable</t>
  </si>
  <si>
    <t xml:space="preserve">  3.  SÉCURITÉ &amp; MOBILIER</t>
  </si>
  <si>
    <t xml:space="preserve">Valeur mobilier (€)</t>
  </si>
  <si>
    <t xml:space="preserve">Franchise choisie (€)</t>
  </si>
  <si>
    <t xml:space="preserve">Alarme homologuée</t>
  </si>
  <si>
    <t xml:space="preserve">Porte blindée</t>
  </si>
  <si>
    <t xml:space="preserve">Détecteur incendie/fumée</t>
  </si>
  <si>
    <t xml:space="preserve">Multi-contrat (Auto/Moto)</t>
  </si>
  <si>
    <t xml:space="preserve">  4.  GARANTIES</t>
  </si>
  <si>
    <t xml:space="preserve">Multirisque habitation</t>
  </si>
  <si>
    <t xml:space="preserve">Dommages électriques</t>
  </si>
  <si>
    <t xml:space="preserve">Objets de valeur (+25k€)</t>
  </si>
  <si>
    <t xml:space="preserve">  5.  CALCUL DE LA PRIME  (automatique)</t>
  </si>
  <si>
    <t xml:space="preserve">Prime de base selon surface</t>
  </si>
  <si>
    <t xml:space="preserve">Coeff. type logement</t>
  </si>
  <si>
    <t xml:space="preserve">Coeff. statut</t>
  </si>
  <si>
    <t xml:space="preserve">Coeff. valeur mobilier</t>
  </si>
  <si>
    <t xml:space="preserve">Coeff. zone inondable</t>
  </si>
  <si>
    <t xml:space="preserve">Réduction alarme</t>
  </si>
  <si>
    <t xml:space="preserve">Réduction porte blindée</t>
  </si>
  <si>
    <t xml:space="preserve">Majoration dommages élec.</t>
  </si>
  <si>
    <t xml:space="preserve">Majoration objets valeur</t>
  </si>
  <si>
    <t xml:space="preserve">Réduction franchise</t>
  </si>
  <si>
    <t xml:space="preserve">📊  SYNTHÈSE ET COMPARAISON DES DEVIS</t>
  </si>
  <si>
    <t xml:space="preserve">Produit</t>
  </si>
  <si>
    <t xml:space="preserve">Client</t>
  </si>
  <si>
    <t xml:space="preserve">Prime annuelle (€)</t>
  </si>
  <si>
    <t xml:space="preserve">Prime mensuelle (€)</t>
  </si>
  <si>
    <t xml:space="preserve">CRM appliqué</t>
  </si>
  <si>
    <t xml:space="preserve">Remarques</t>
  </si>
  <si>
    <t xml:space="preserve">🚗 Auto</t>
  </si>
  <si>
    <t xml:space="preserve">🏍️ Moto</t>
  </si>
  <si>
    <t xml:space="preserve">🏠 Hab.</t>
  </si>
  <si>
    <t xml:space="preserve">N/A</t>
  </si>
  <si>
    <t xml:space="preserve">TOTAL TOUS CONTRATS</t>
  </si>
  <si>
    <t xml:space="preserve">💡  Remise multi-contrat active sur chaque feuille si 'OUI' est sélectionné dans le champ Multi-contrat.</t>
  </si>
  <si>
    <t xml:space="preserve">📖  GUIDE D'UTILISATION – CLASSEUR DEVIS ASSURANCES</t>
  </si>
  <si>
    <t xml:space="preserve">STRUCTURE DU CLASSEUR</t>
  </si>
  <si>
    <t xml:space="preserve">• Feuille "Devis_Auto"        → Saisie et calcul automatique pour l'assurance auto</t>
  </si>
  <si>
    <t xml:space="preserve">• Feuille "Devis_Moto"        → Saisie et calcul automatique pour l'assurance moto</t>
  </si>
  <si>
    <t xml:space="preserve">• Feuille "Devis_Habitation"  → Saisie et calcul automatique pour l'assurance habitation</t>
  </si>
  <si>
    <t xml:space="preserve">• Feuille "Synthèse_Comparaison" → Vue d'ensemble des 3 produits et total multi-contrat</t>
  </si>
  <si>
    <t xml:space="preserve">• Feuille "Tables_Tarifs"     → Tables de référence (modifier ici pour adapter au barème)</t>
  </si>
  <si>
    <t xml:space="preserve">COMMENT UTILISER CE FICHIER</t>
  </si>
  <si>
    <t xml:space="preserve">1. Ouvrez la feuille du produit concerné (Auto, Moto ou Habitation).</t>
  </si>
  <si>
    <t xml:space="preserve">2. Remplissez les cellules en BLEU (données client). Les listes déroulantes guident les choix.</t>
  </si>
  <si>
    <t xml:space="preserve">3. Les cellules NOIRES se calculent automatiquement — ne pas les modifier.</t>
  </si>
  <si>
    <t xml:space="preserve">4. Consultez la feuille "Synthèse_Comparaison" pour le total multi-contrat.</t>
  </si>
  <si>
    <t xml:space="preserve">BONUS-MALUS (CRM) – RAPPEL LÉGAL</t>
  </si>
  <si>
    <t xml:space="preserve">• Sans sinistre responsable : CRM × 0,95 (–5%) par an. Minimum légal : 0,50.</t>
  </si>
  <si>
    <t xml:space="preserve">• Sinistre responsable total  : CRM × 1,25 (+25%). Maximum légal : 3,50.</t>
  </si>
  <si>
    <t xml:space="preserve">• Sinistre responsable partiel : CRM × 1,125 (+12,5%).</t>
  </si>
  <si>
    <t xml:space="preserve">  Source : Code des assurances, Annexe A121-1.</t>
  </si>
  <si>
    <t xml:space="preserve">SURPRIME JEUNE CONDUCTEUR / PILOTE</t>
  </si>
  <si>
    <t xml:space="preserve">• Permis &lt; 1 an  : coefficient ×2,00  (+100 %)</t>
  </si>
  <si>
    <t xml:space="preserve">• Permis 1–2 ans : coefficient ×1,50  (+50 %)</t>
  </si>
  <si>
    <t xml:space="preserve">• Permis 2–3 ans : coefficient ×1,25  (+25 %)</t>
  </si>
  <si>
    <t xml:space="preserve">• Permis ≥ 3 ans : pas de surprime jeune conducteur</t>
  </si>
  <si>
    <t xml:space="preserve">ADAPTER LES BARÈMES</t>
  </si>
  <si>
    <t xml:space="preserve">Pour modifier les coefficients : ouvrez "Tables_Tarifs" et éditez les valeurs.</t>
  </si>
  <si>
    <t xml:space="preserve">Les formules RECHERCHEV se mettent à jour automatiquement.</t>
  </si>
  <si>
    <t xml:space="preserve">AVERTISSEMENT RÉGLEMENTAIRE</t>
  </si>
  <si>
    <t xml:space="preserve">Les coefficients de ce fichier sont indicatifs. Ils doivent être adaptés aux barèmes</t>
  </si>
  <si>
    <t xml:space="preserve">officiels de chaque compagnie et à la législation du pays concerné.</t>
  </si>
  <si>
    <t xml:space="preserve">Le sexe du conducteur ne peut pas être utilisé comme critère tarifaire (CJUE).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</si>
</sst>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&quot; €&quot;"/>
    <numFmt numFmtId="167" formatCode="#,##0.00&quot; €&quot;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9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703C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030A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00703C"/>
        <bgColor rgb="FF008080"/>
      </patternFill>
    </fill>
    <fill>
      <patternFill patternType="solid">
        <fgColor rgb="FFFFF2CC"/>
        <bgColor rgb="FFF2F2F2"/>
      </patternFill>
    </fill>
    <fill>
      <patternFill patternType="solid">
        <fgColor rgb="FFD6E4F0"/>
        <bgColor rgb="FFEDE7F6"/>
      </patternFill>
    </fill>
    <fill>
      <patternFill patternType="solid">
        <fgColor rgb="FFF2F2F2"/>
        <bgColor rgb="FFEBF3FB"/>
      </patternFill>
    </fill>
    <fill>
      <patternFill patternType="solid">
        <fgColor rgb="FF7B3F00"/>
        <bgColor rgb="FF993366"/>
      </patternFill>
    </fill>
    <fill>
      <patternFill patternType="solid">
        <fgColor rgb="FF7030A0"/>
        <bgColor rgb="FF993366"/>
      </patternFill>
    </fill>
    <fill>
      <patternFill patternType="solid">
        <fgColor rgb="FFEDE7F6"/>
        <bgColor rgb="FFF2F2F2"/>
      </patternFill>
    </fill>
    <fill>
      <patternFill patternType="solid">
        <fgColor rgb="FF404040"/>
        <bgColor rgb="FF1F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5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703C"/>
      <rgbColor rgb="FF000099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DE7F6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7" style="0" width="20"/>
    <col collapsed="false" customWidth="true" hidden="false" outlineLevel="0" max="8" min="8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D2" s="2" t="s">
        <v>2</v>
      </c>
      <c r="E2" s="2"/>
      <c r="G2" s="2" t="s">
        <v>3</v>
      </c>
      <c r="H2" s="2"/>
    </row>
    <row r="3" customFormat="false" ht="15" hidden="false" customHeight="false" outlineLevel="0" collapsed="false">
      <c r="A3" s="3" t="s">
        <v>4</v>
      </c>
      <c r="B3" s="3" t="s">
        <v>5</v>
      </c>
      <c r="D3" s="3" t="s">
        <v>6</v>
      </c>
      <c r="E3" s="3" t="s">
        <v>7</v>
      </c>
      <c r="G3" s="3" t="s">
        <v>8</v>
      </c>
      <c r="H3" s="3" t="s">
        <v>9</v>
      </c>
    </row>
    <row r="4" customFormat="false" ht="15" hidden="false" customHeight="false" outlineLevel="0" collapsed="false">
      <c r="A4" s="4" t="n">
        <v>3</v>
      </c>
      <c r="B4" s="5" t="n">
        <v>0.9</v>
      </c>
      <c r="D4" s="4" t="n">
        <v>18</v>
      </c>
      <c r="E4" s="5" t="n">
        <v>1.8</v>
      </c>
      <c r="G4" s="6" t="s">
        <v>10</v>
      </c>
      <c r="H4" s="5" t="n">
        <v>0.85</v>
      </c>
    </row>
    <row r="5" customFormat="false" ht="15" hidden="false" customHeight="false" outlineLevel="0" collapsed="false">
      <c r="A5" s="7" t="n">
        <v>4</v>
      </c>
      <c r="B5" s="8" t="n">
        <v>1</v>
      </c>
      <c r="D5" s="7" t="n">
        <v>21</v>
      </c>
      <c r="E5" s="8" t="n">
        <v>1.5</v>
      </c>
      <c r="G5" s="9" t="s">
        <v>11</v>
      </c>
      <c r="H5" s="8" t="n">
        <v>0.95</v>
      </c>
    </row>
    <row r="6" customFormat="false" ht="15" hidden="false" customHeight="false" outlineLevel="0" collapsed="false">
      <c r="A6" s="4" t="n">
        <v>5</v>
      </c>
      <c r="B6" s="5" t="n">
        <v>1.1</v>
      </c>
      <c r="D6" s="4" t="n">
        <v>25</v>
      </c>
      <c r="E6" s="5" t="n">
        <v>1.1</v>
      </c>
      <c r="G6" s="6" t="s">
        <v>12</v>
      </c>
      <c r="H6" s="5" t="n">
        <v>1</v>
      </c>
    </row>
    <row r="7" customFormat="false" ht="15" hidden="false" customHeight="false" outlineLevel="0" collapsed="false">
      <c r="A7" s="7" t="n">
        <v>6</v>
      </c>
      <c r="B7" s="8" t="n">
        <v>1.2</v>
      </c>
      <c r="D7" s="7" t="n">
        <v>30</v>
      </c>
      <c r="E7" s="8" t="n">
        <v>1</v>
      </c>
      <c r="G7" s="9" t="s">
        <v>13</v>
      </c>
      <c r="H7" s="8" t="n">
        <v>1.1</v>
      </c>
    </row>
    <row r="8" customFormat="false" ht="15" hidden="false" customHeight="false" outlineLevel="0" collapsed="false">
      <c r="A8" s="4" t="n">
        <v>7</v>
      </c>
      <c r="B8" s="5" t="n">
        <v>1.35</v>
      </c>
      <c r="D8" s="4" t="n">
        <v>40</v>
      </c>
      <c r="E8" s="5" t="n">
        <v>1</v>
      </c>
      <c r="G8" s="6" t="s">
        <v>14</v>
      </c>
      <c r="H8" s="5" t="n">
        <v>1.2</v>
      </c>
    </row>
    <row r="9" customFormat="false" ht="15" hidden="false" customHeight="false" outlineLevel="0" collapsed="false">
      <c r="A9" s="7" t="n">
        <v>8</v>
      </c>
      <c r="B9" s="8" t="n">
        <v>1.5</v>
      </c>
      <c r="D9" s="7" t="n">
        <v>55</v>
      </c>
      <c r="E9" s="8" t="n">
        <v>1.05</v>
      </c>
      <c r="G9" s="9" t="s">
        <v>15</v>
      </c>
      <c r="H9" s="8" t="n">
        <v>1.35</v>
      </c>
    </row>
    <row r="10" customFormat="false" ht="15" hidden="false" customHeight="false" outlineLevel="0" collapsed="false">
      <c r="A10" s="4" t="n">
        <v>9</v>
      </c>
      <c r="B10" s="5" t="n">
        <v>1.65</v>
      </c>
      <c r="D10" s="4" t="n">
        <v>65</v>
      </c>
      <c r="E10" s="5" t="n">
        <v>1.15</v>
      </c>
      <c r="G10" s="10"/>
      <c r="H10" s="10"/>
    </row>
    <row r="11" customFormat="false" ht="15" hidden="false" customHeight="false" outlineLevel="0" collapsed="false">
      <c r="A11" s="7" t="n">
        <v>10</v>
      </c>
      <c r="B11" s="8" t="n">
        <v>1.8</v>
      </c>
      <c r="D11" s="7" t="n">
        <v>75</v>
      </c>
      <c r="E11" s="8" t="n">
        <v>1.35</v>
      </c>
    </row>
    <row r="12" customFormat="false" ht="15" hidden="false" customHeight="false" outlineLevel="0" collapsed="false">
      <c r="A12" s="4" t="n">
        <v>11</v>
      </c>
      <c r="B12" s="5" t="n">
        <v>2</v>
      </c>
      <c r="D12" s="10"/>
      <c r="E12" s="10"/>
    </row>
    <row r="13" customFormat="false" ht="15" hidden="false" customHeight="false" outlineLevel="0" collapsed="false">
      <c r="A13" s="7" t="n">
        <v>12</v>
      </c>
      <c r="B13" s="8" t="n">
        <v>2.2</v>
      </c>
    </row>
    <row r="15" customFormat="false" ht="15" hidden="false" customHeight="false" outlineLevel="0" collapsed="false">
      <c r="A15" s="2" t="s">
        <v>16</v>
      </c>
      <c r="B15" s="2"/>
      <c r="D15" s="2" t="s">
        <v>17</v>
      </c>
      <c r="E15" s="2"/>
      <c r="G15" s="2" t="s">
        <v>18</v>
      </c>
      <c r="H15" s="2"/>
    </row>
    <row r="16" customFormat="false" ht="15" hidden="false" customHeight="false" outlineLevel="0" collapsed="false">
      <c r="A16" s="3" t="s">
        <v>19</v>
      </c>
      <c r="B16" s="3" t="s">
        <v>20</v>
      </c>
      <c r="D16" s="3" t="s">
        <v>21</v>
      </c>
      <c r="E16" s="3" t="s">
        <v>22</v>
      </c>
      <c r="G16" s="3" t="s">
        <v>23</v>
      </c>
      <c r="H16" s="3" t="s">
        <v>20</v>
      </c>
    </row>
    <row r="17" customFormat="false" ht="15" hidden="false" customHeight="false" outlineLevel="0" collapsed="false">
      <c r="A17" s="4" t="s">
        <v>24</v>
      </c>
      <c r="B17" s="5" t="n">
        <v>0.7</v>
      </c>
      <c r="D17" s="4" t="s">
        <v>25</v>
      </c>
      <c r="E17" s="11" t="n">
        <v>80</v>
      </c>
      <c r="G17" s="4" t="s">
        <v>26</v>
      </c>
      <c r="H17" s="5" t="n">
        <v>0.9</v>
      </c>
    </row>
    <row r="18" customFormat="false" ht="15" hidden="false" customHeight="false" outlineLevel="0" collapsed="false">
      <c r="A18" s="7" t="s">
        <v>27</v>
      </c>
      <c r="B18" s="8" t="n">
        <v>0.85</v>
      </c>
      <c r="D18" s="7" t="s">
        <v>28</v>
      </c>
      <c r="E18" s="12" t="n">
        <v>110</v>
      </c>
      <c r="G18" s="7" t="s">
        <v>29</v>
      </c>
      <c r="H18" s="8" t="n">
        <v>1</v>
      </c>
    </row>
    <row r="19" customFormat="false" ht="15" hidden="false" customHeight="false" outlineLevel="0" collapsed="false">
      <c r="A19" s="4" t="s">
        <v>30</v>
      </c>
      <c r="B19" s="5" t="n">
        <v>1</v>
      </c>
      <c r="D19" s="4" t="s">
        <v>31</v>
      </c>
      <c r="E19" s="11" t="n">
        <v>140</v>
      </c>
      <c r="G19" s="4" t="s">
        <v>32</v>
      </c>
      <c r="H19" s="5" t="n">
        <v>1.15</v>
      </c>
    </row>
    <row r="20" customFormat="false" ht="15" hidden="false" customHeight="false" outlineLevel="0" collapsed="false">
      <c r="A20" s="7" t="s">
        <v>33</v>
      </c>
      <c r="B20" s="8" t="n">
        <v>1.25</v>
      </c>
      <c r="D20" s="7" t="s">
        <v>34</v>
      </c>
      <c r="E20" s="12" t="n">
        <v>170</v>
      </c>
      <c r="G20" s="7" t="s">
        <v>35</v>
      </c>
      <c r="H20" s="8" t="n">
        <v>1.3</v>
      </c>
    </row>
    <row r="21" customFormat="false" ht="15" hidden="false" customHeight="false" outlineLevel="0" collapsed="false">
      <c r="A21" s="4" t="s">
        <v>36</v>
      </c>
      <c r="B21" s="5" t="n">
        <v>1.5</v>
      </c>
      <c r="D21" s="4" t="s">
        <v>37</v>
      </c>
      <c r="E21" s="11" t="n">
        <v>200</v>
      </c>
      <c r="G21" s="4" t="s">
        <v>38</v>
      </c>
      <c r="H21" s="5" t="n">
        <v>1.5</v>
      </c>
    </row>
    <row r="22" customFormat="false" ht="15" hidden="false" customHeight="false" outlineLevel="0" collapsed="false">
      <c r="A22" s="7" t="s">
        <v>39</v>
      </c>
      <c r="B22" s="8" t="n">
        <v>1.75</v>
      </c>
      <c r="D22" s="7" t="s">
        <v>40</v>
      </c>
      <c r="E22" s="12" t="n">
        <v>235</v>
      </c>
      <c r="G22" s="7" t="s">
        <v>41</v>
      </c>
      <c r="H22" s="8" t="n">
        <v>1.75</v>
      </c>
    </row>
    <row r="23" customFormat="false" ht="15" hidden="false" customHeight="false" outlineLevel="0" collapsed="false">
      <c r="A23" s="4" t="s">
        <v>42</v>
      </c>
      <c r="B23" s="5" t="n">
        <v>2</v>
      </c>
      <c r="D23" s="4" t="s">
        <v>43</v>
      </c>
      <c r="E23" s="11" t="n">
        <v>270</v>
      </c>
      <c r="G23" s="10"/>
      <c r="H23" s="10"/>
    </row>
    <row r="24" customFormat="false" ht="15" hidden="false" customHeight="false" outlineLevel="0" collapsed="false">
      <c r="A24" s="10"/>
      <c r="B24" s="10"/>
      <c r="D24" s="7" t="s">
        <v>44</v>
      </c>
      <c r="E24" s="12" t="n">
        <v>320</v>
      </c>
    </row>
    <row r="25" customFormat="false" ht="15" hidden="false" customHeight="false" outlineLevel="0" collapsed="false">
      <c r="D25" s="10"/>
      <c r="E25" s="10"/>
    </row>
  </sheetData>
  <mergeCells count="7">
    <mergeCell ref="A1:D1"/>
    <mergeCell ref="A2:B2"/>
    <mergeCell ref="D2:E2"/>
    <mergeCell ref="G2:H2"/>
    <mergeCell ref="A15:B15"/>
    <mergeCell ref="D15:E15"/>
    <mergeCell ref="G15:H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18"/>
  </cols>
  <sheetData>
    <row r="1" customFormat="false" ht="31.5" hidden="false" customHeight="true" outlineLevel="0" collapsed="false">
      <c r="A1" s="13" t="s">
        <v>45</v>
      </c>
      <c r="B1" s="13"/>
      <c r="C1" s="13"/>
      <c r="D1" s="13"/>
      <c r="E1" s="13"/>
      <c r="F1" s="13"/>
      <c r="G1" s="13"/>
      <c r="H1" s="13"/>
    </row>
    <row r="2" customFormat="false" ht="19.5" hidden="false" customHeight="true" outlineLevel="0" collapsed="false">
      <c r="A2" s="14" t="s">
        <v>46</v>
      </c>
      <c r="B2" s="14"/>
      <c r="C2" s="14"/>
      <c r="D2" s="14"/>
      <c r="E2" s="14"/>
      <c r="F2" s="14"/>
      <c r="G2" s="14"/>
      <c r="H2" s="14"/>
    </row>
    <row r="3" customFormat="false" ht="15" hidden="false" customHeight="false" outlineLevel="0" collapsed="false">
      <c r="A3" s="15" t="s">
        <v>47</v>
      </c>
      <c r="B3" s="15"/>
      <c r="C3" s="7"/>
    </row>
    <row r="4" customFormat="false" ht="15" hidden="false" customHeight="false" outlineLevel="0" collapsed="false">
      <c r="A4" s="16" t="s">
        <v>48</v>
      </c>
      <c r="B4" s="16"/>
      <c r="C4" s="4" t="n">
        <v>25</v>
      </c>
    </row>
    <row r="5" customFormat="false" ht="15" hidden="false" customHeight="false" outlineLevel="0" collapsed="false">
      <c r="A5" s="15" t="s">
        <v>49</v>
      </c>
      <c r="B5" s="15"/>
      <c r="C5" s="7" t="n">
        <v>3</v>
      </c>
    </row>
    <row r="6" customFormat="false" ht="15" hidden="false" customHeight="false" outlineLevel="0" collapsed="false">
      <c r="A6" s="16" t="s">
        <v>50</v>
      </c>
      <c r="B6" s="16"/>
      <c r="C6" s="4" t="n">
        <v>1</v>
      </c>
    </row>
    <row r="7" customFormat="false" ht="15" hidden="false" customHeight="false" outlineLevel="0" collapsed="false">
      <c r="A7" s="15" t="s">
        <v>51</v>
      </c>
      <c r="B7" s="15"/>
      <c r="C7" s="7" t="n">
        <v>0</v>
      </c>
    </row>
    <row r="8" customFormat="false" ht="15" hidden="false" customHeight="false" outlineLevel="0" collapsed="false">
      <c r="A8" s="10"/>
      <c r="B8" s="10"/>
      <c r="C8" s="10"/>
    </row>
    <row r="9" customFormat="false" ht="19.5" hidden="false" customHeight="true" outlineLevel="0" collapsed="false">
      <c r="A9" s="14" t="s">
        <v>52</v>
      </c>
      <c r="B9" s="14"/>
      <c r="C9" s="14"/>
      <c r="D9" s="14"/>
      <c r="E9" s="14"/>
      <c r="F9" s="14"/>
      <c r="G9" s="14"/>
      <c r="H9" s="14"/>
    </row>
    <row r="10" customFormat="false" ht="15" hidden="false" customHeight="false" outlineLevel="0" collapsed="false">
      <c r="A10" s="16" t="s">
        <v>53</v>
      </c>
      <c r="B10" s="16"/>
      <c r="C10" s="4"/>
    </row>
    <row r="11" customFormat="false" ht="15" hidden="false" customHeight="false" outlineLevel="0" collapsed="false">
      <c r="A11" s="15" t="s">
        <v>54</v>
      </c>
      <c r="B11" s="15"/>
      <c r="C11" s="7" t="n">
        <v>7</v>
      </c>
    </row>
    <row r="12" customFormat="false" ht="15" hidden="false" customHeight="false" outlineLevel="0" collapsed="false">
      <c r="A12" s="16" t="s">
        <v>55</v>
      </c>
      <c r="B12" s="16"/>
      <c r="C12" s="4" t="n">
        <v>3</v>
      </c>
    </row>
    <row r="13" customFormat="false" ht="15" hidden="false" customHeight="false" outlineLevel="0" collapsed="false">
      <c r="A13" s="15" t="s">
        <v>56</v>
      </c>
      <c r="B13" s="15"/>
      <c r="C13" s="9" t="s">
        <v>57</v>
      </c>
    </row>
    <row r="14" customFormat="false" ht="15" hidden="false" customHeight="false" outlineLevel="0" collapsed="false">
      <c r="A14" s="16" t="s">
        <v>58</v>
      </c>
      <c r="B14" s="16"/>
      <c r="C14" s="6" t="s">
        <v>12</v>
      </c>
    </row>
    <row r="15" customFormat="false" ht="15" hidden="false" customHeight="false" outlineLevel="0" collapsed="false">
      <c r="A15" s="15" t="s">
        <v>59</v>
      </c>
      <c r="B15" s="15"/>
      <c r="C15" s="9" t="s">
        <v>60</v>
      </c>
    </row>
    <row r="16" customFormat="false" ht="15" hidden="false" customHeight="false" outlineLevel="0" collapsed="false">
      <c r="A16" s="16" t="s">
        <v>61</v>
      </c>
      <c r="B16" s="16"/>
      <c r="C16" s="6" t="s">
        <v>62</v>
      </c>
    </row>
    <row r="17" customFormat="false" ht="15" hidden="false" customHeight="false" outlineLevel="0" collapsed="false">
      <c r="A17" s="10"/>
      <c r="B17" s="10"/>
      <c r="C17" s="10"/>
    </row>
    <row r="18" customFormat="false" ht="19.5" hidden="false" customHeight="true" outlineLevel="0" collapsed="false">
      <c r="A18" s="14" t="s">
        <v>63</v>
      </c>
      <c r="B18" s="14"/>
      <c r="C18" s="14"/>
      <c r="D18" s="14"/>
      <c r="E18" s="14"/>
      <c r="F18" s="14"/>
      <c r="G18" s="14"/>
      <c r="H18" s="14"/>
    </row>
    <row r="19" customFormat="false" ht="15" hidden="false" customHeight="false" outlineLevel="0" collapsed="false">
      <c r="A19" s="15" t="s">
        <v>64</v>
      </c>
      <c r="B19" s="15"/>
      <c r="C19" s="7" t="s">
        <v>65</v>
      </c>
    </row>
    <row r="20" customFormat="false" ht="15" hidden="false" customHeight="false" outlineLevel="0" collapsed="false">
      <c r="A20" s="16" t="s">
        <v>66</v>
      </c>
      <c r="B20" s="16"/>
      <c r="C20" s="4" t="s">
        <v>67</v>
      </c>
    </row>
    <row r="21" customFormat="false" ht="15" hidden="false" customHeight="false" outlineLevel="0" collapsed="false">
      <c r="A21" s="15" t="s">
        <v>68</v>
      </c>
      <c r="B21" s="15"/>
      <c r="C21" s="7" t="s">
        <v>69</v>
      </c>
    </row>
    <row r="22" customFormat="false" ht="15" hidden="false" customHeight="false" outlineLevel="0" collapsed="false">
      <c r="A22" s="16" t="s">
        <v>70</v>
      </c>
      <c r="B22" s="16"/>
      <c r="C22" s="4" t="s">
        <v>69</v>
      </c>
    </row>
    <row r="23" customFormat="false" ht="15" hidden="false" customHeight="false" outlineLevel="0" collapsed="false">
      <c r="A23" s="15" t="s">
        <v>71</v>
      </c>
      <c r="B23" s="15"/>
      <c r="C23" s="7" t="s">
        <v>67</v>
      </c>
    </row>
    <row r="24" customFormat="false" ht="15" hidden="false" customHeight="false" outlineLevel="0" collapsed="false">
      <c r="A24" s="16" t="s">
        <v>72</v>
      </c>
      <c r="B24" s="16"/>
      <c r="C24" s="4" t="s">
        <v>67</v>
      </c>
    </row>
    <row r="25" customFormat="false" ht="15" hidden="false" customHeight="false" outlineLevel="0" collapsed="false">
      <c r="A25" s="10"/>
      <c r="B25" s="10"/>
      <c r="C25" s="10"/>
    </row>
    <row r="26" customFormat="false" ht="19.5" hidden="false" customHeight="true" outlineLevel="0" collapsed="false">
      <c r="A26" s="17" t="s">
        <v>73</v>
      </c>
      <c r="B26" s="17"/>
      <c r="C26" s="17"/>
      <c r="D26" s="17"/>
      <c r="E26" s="17"/>
      <c r="F26" s="17"/>
      <c r="G26" s="17"/>
      <c r="H26" s="17"/>
    </row>
    <row r="27" customFormat="false" ht="15" hidden="false" customHeight="false" outlineLevel="0" collapsed="false">
      <c r="A27" s="15" t="s">
        <v>74</v>
      </c>
      <c r="B27" s="15"/>
      <c r="C27" s="18" t="n">
        <f aca="false">IF(C5&lt;1,2,IF(C5&lt;2,1.5,IF(C5&lt;3,1.25,1)))</f>
        <v>1</v>
      </c>
    </row>
    <row r="28" customFormat="false" ht="15" hidden="false" customHeight="false" outlineLevel="0" collapsed="false">
      <c r="A28" s="16" t="s">
        <v>75</v>
      </c>
      <c r="B28" s="16"/>
      <c r="C28" s="19" t="n">
        <f aca="false">MIN(3.5,MAX(0.5,IF(C7=0,C6*0.95,C6*1.25^C7)))</f>
        <v>0.95</v>
      </c>
    </row>
    <row r="29" customFormat="false" ht="15" hidden="false" customHeight="false" outlineLevel="0" collapsed="false">
      <c r="A29" s="15" t="s">
        <v>76</v>
      </c>
      <c r="B29" s="15"/>
      <c r="C29" s="18" t="n">
        <f aca="false">IFERROR(VLOOKUP(C11,Tables_Tarifs!$A$4:$B$13,2,TRUE()),1)</f>
        <v>1.35</v>
      </c>
    </row>
    <row r="30" customFormat="false" ht="15" hidden="false" customHeight="false" outlineLevel="0" collapsed="false">
      <c r="A30" s="16" t="s">
        <v>77</v>
      </c>
      <c r="B30" s="16"/>
      <c r="C30" s="19" t="n">
        <f aca="false">IF(C13="Professionnel",1.2,IF(C13="Tous déplacements",1.15,IF(C13="Domicile-Travail",1.05,1)))</f>
        <v>1</v>
      </c>
    </row>
    <row r="31" customFormat="false" ht="15" hidden="false" customHeight="false" outlineLevel="0" collapsed="false">
      <c r="A31" s="15" t="s">
        <v>78</v>
      </c>
      <c r="B31" s="15"/>
      <c r="C31" s="18" t="n">
        <f aca="false">IFERROR(VLOOKUP(C14,Tables_Tarifs!$G$4:$H$9,2,FALSE()),1)</f>
        <v>1</v>
      </c>
    </row>
    <row r="32" customFormat="false" ht="15" hidden="false" customHeight="false" outlineLevel="0" collapsed="false">
      <c r="A32" s="16" t="s">
        <v>79</v>
      </c>
      <c r="B32" s="16"/>
      <c r="C32" s="19" t="n">
        <f aca="false">IF(C16="Urbaine",1.15,IF(C16="Péri-urbaine",1.05,1))</f>
        <v>1.15</v>
      </c>
    </row>
    <row r="33" customFormat="false" ht="15" hidden="false" customHeight="false" outlineLevel="0" collapsed="false">
      <c r="A33" s="15" t="s">
        <v>80</v>
      </c>
      <c r="B33" s="15"/>
      <c r="C33" s="18" t="n">
        <f aca="false">IF(C19="Tous risques",1.5,IF(C19="Tiers étendu",1.2,1))</f>
        <v>1</v>
      </c>
    </row>
    <row r="34" customFormat="false" ht="15" hidden="false" customHeight="false" outlineLevel="0" collapsed="false">
      <c r="A34" s="16" t="s">
        <v>81</v>
      </c>
      <c r="B34" s="16"/>
      <c r="C34" s="20" t="n">
        <f aca="false">IF(C20="OUI",30,0)</f>
        <v>0</v>
      </c>
    </row>
    <row r="35" customFormat="false" ht="15" hidden="false" customHeight="false" outlineLevel="0" collapsed="false">
      <c r="A35" s="15" t="s">
        <v>82</v>
      </c>
      <c r="B35" s="15"/>
      <c r="C35" s="21" t="n">
        <f aca="false">IF(C21="OUI",20,0)</f>
        <v>20</v>
      </c>
    </row>
    <row r="36" customFormat="false" ht="15" hidden="false" customHeight="false" outlineLevel="0" collapsed="false">
      <c r="A36" s="16" t="s">
        <v>83</v>
      </c>
      <c r="B36" s="16"/>
      <c r="C36" s="20" t="n">
        <f aca="false">IF(C22="OUI",15,0)</f>
        <v>15</v>
      </c>
    </row>
    <row r="37" customFormat="false" ht="15" hidden="false" customHeight="false" outlineLevel="0" collapsed="false">
      <c r="A37" s="15" t="s">
        <v>84</v>
      </c>
      <c r="B37" s="15"/>
      <c r="C37" s="21" t="n">
        <f aca="false">IF(C23="OUI",25,0)</f>
        <v>0</v>
      </c>
    </row>
    <row r="38" customFormat="false" ht="15" hidden="false" customHeight="false" outlineLevel="0" collapsed="false">
      <c r="A38" s="16" t="s">
        <v>85</v>
      </c>
      <c r="B38" s="16"/>
      <c r="C38" s="19" t="n">
        <f aca="false">IF(C24="OUI",0.95,1)</f>
        <v>1</v>
      </c>
    </row>
    <row r="39" customFormat="false" ht="15" hidden="false" customHeight="false" outlineLevel="0" collapsed="false">
      <c r="A39" s="22" t="s">
        <v>86</v>
      </c>
      <c r="B39" s="22"/>
      <c r="C39" s="23" t="n">
        <v>200</v>
      </c>
    </row>
    <row r="40" customFormat="false" ht="15" hidden="false" customHeight="false" outlineLevel="0" collapsed="false">
      <c r="A40" s="10"/>
      <c r="B40" s="10"/>
      <c r="C40" s="10"/>
    </row>
    <row r="41" customFormat="false" ht="15" hidden="false" customHeight="false" outlineLevel="0" collapsed="false">
      <c r="A41" s="24" t="s">
        <v>87</v>
      </c>
      <c r="B41" s="24"/>
      <c r="C41" s="25" t="n">
        <f aca="false">ROUND((C39*C27*C28*C29*C30*C31*C32*C33+C34+C35+C36+C37)*C38,2)</f>
        <v>329.98</v>
      </c>
    </row>
    <row r="42" customFormat="false" ht="15" hidden="false" customHeight="false" outlineLevel="0" collapsed="false">
      <c r="A42" s="26" t="s">
        <v>88</v>
      </c>
      <c r="B42" s="26"/>
      <c r="C42" s="27" t="n">
        <f aca="false">ROUND(C41/12,2)</f>
        <v>27.5</v>
      </c>
    </row>
    <row r="43" customFormat="false" ht="15" hidden="false" customHeight="false" outlineLevel="0" collapsed="false">
      <c r="A43" s="28" t="s">
        <v>89</v>
      </c>
      <c r="B43" s="28"/>
      <c r="C43" s="29" t="n">
        <v>12</v>
      </c>
    </row>
    <row r="44" customFormat="false" ht="15" hidden="false" customHeight="false" outlineLevel="0" collapsed="false">
      <c r="A44" s="28" t="s">
        <v>90</v>
      </c>
      <c r="B44" s="28"/>
      <c r="C44" s="30" t="n">
        <f aca="false">ROUND(C41*C43/12,2)</f>
        <v>329.98</v>
      </c>
    </row>
  </sheetData>
  <mergeCells count="40">
    <mergeCell ref="A1:H1"/>
    <mergeCell ref="A2:H2"/>
    <mergeCell ref="A3:B3"/>
    <mergeCell ref="A4:B4"/>
    <mergeCell ref="A5:B5"/>
    <mergeCell ref="A6:B6"/>
    <mergeCell ref="A7:B7"/>
    <mergeCell ref="A9:H9"/>
    <mergeCell ref="A10:B10"/>
    <mergeCell ref="A11:B11"/>
    <mergeCell ref="A12:B12"/>
    <mergeCell ref="A13:B13"/>
    <mergeCell ref="A14:B14"/>
    <mergeCell ref="A15:B15"/>
    <mergeCell ref="A16:B16"/>
    <mergeCell ref="A18:H18"/>
    <mergeCell ref="A19:B19"/>
    <mergeCell ref="A20:B20"/>
    <mergeCell ref="A21:B21"/>
    <mergeCell ref="A22:B22"/>
    <mergeCell ref="A23:B23"/>
    <mergeCell ref="A24:B24"/>
    <mergeCell ref="A26:H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1:B41"/>
    <mergeCell ref="A42:B42"/>
    <mergeCell ref="A43:B43"/>
    <mergeCell ref="A44:B44"/>
  </mergeCells>
  <dataValidations count="6">
    <dataValidation allowBlank="false" errorStyle="stop" operator="between" showDropDown="false" showErrorMessage="false" showInputMessage="false" sqref="C13" type="list">
      <formula1>"Privé,Professionnel,Domicile-Travail,Tous déplacements"</formula1>
      <formula2>0</formula2>
    </dataValidation>
    <dataValidation allowBlank="false" errorStyle="stop" operator="between" showDropDown="false" showErrorMessage="false" showInputMessage="false" sqref="C14" type="list">
      <formula1>"&lt; 8 000,8 001–12 000,12 001–15 000,15 001–20 000,20 001–25 000,&gt; 25 000"</formula1>
      <formula2>0</formula2>
    </dataValidation>
    <dataValidation allowBlank="false" errorStyle="stop" operator="between" showDropDown="false" showErrorMessage="false" showInputMessage="false" sqref="C15" type="list">
      <formula1>"Garage privé,Parking couvert,Parking public,Rue"</formula1>
      <formula2>0</formula2>
    </dataValidation>
    <dataValidation allowBlank="false" errorStyle="stop" operator="between" showDropDown="false" showErrorMessage="false" showInputMessage="false" sqref="C16" type="list">
      <formula1>"Urbaine,Péri-urbaine,Rurale"</formula1>
      <formula2>0</formula2>
    </dataValidation>
    <dataValidation allowBlank="false" errorStyle="stop" operator="between" showDropDown="false" showErrorMessage="false" showInputMessage="false" sqref="C20:C24" type="list">
      <formula1>"OUI,NON"</formula1>
      <formula2>0</formula2>
    </dataValidation>
    <dataValidation allowBlank="false" errorStyle="stop" operator="between" showDropDown="false" showErrorMessage="false" showInputMessage="false" sqref="C19" type="list">
      <formula1>"Tiers simple,Tiers étendu,Tous risques"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18"/>
  </cols>
  <sheetData>
    <row r="1" customFormat="false" ht="31.5" hidden="false" customHeight="true" outlineLevel="0" collapsed="false">
      <c r="A1" s="31" t="s">
        <v>91</v>
      </c>
      <c r="B1" s="31"/>
      <c r="C1" s="31"/>
      <c r="D1" s="31"/>
      <c r="E1" s="31"/>
      <c r="F1" s="31"/>
      <c r="G1" s="31"/>
      <c r="H1" s="31"/>
    </row>
    <row r="2" customFormat="false" ht="19.5" hidden="false" customHeight="true" outlineLevel="0" collapsed="false">
      <c r="A2" s="32" t="s">
        <v>92</v>
      </c>
      <c r="B2" s="32"/>
      <c r="C2" s="32"/>
      <c r="D2" s="32"/>
      <c r="E2" s="32"/>
      <c r="F2" s="32"/>
      <c r="G2" s="32"/>
      <c r="H2" s="32"/>
    </row>
    <row r="3" customFormat="false" ht="15" hidden="false" customHeight="false" outlineLevel="0" collapsed="false">
      <c r="A3" s="15" t="s">
        <v>93</v>
      </c>
      <c r="B3" s="15"/>
      <c r="C3" s="7"/>
    </row>
    <row r="4" customFormat="false" ht="15" hidden="false" customHeight="false" outlineLevel="0" collapsed="false">
      <c r="A4" s="16" t="s">
        <v>94</v>
      </c>
      <c r="B4" s="16"/>
      <c r="C4" s="4" t="n">
        <v>28</v>
      </c>
    </row>
    <row r="5" customFormat="false" ht="15" hidden="false" customHeight="false" outlineLevel="0" collapsed="false">
      <c r="A5" s="15" t="s">
        <v>95</v>
      </c>
      <c r="B5" s="15"/>
      <c r="C5" s="7" t="n">
        <v>4</v>
      </c>
    </row>
    <row r="6" customFormat="false" ht="15" hidden="false" customHeight="false" outlineLevel="0" collapsed="false">
      <c r="A6" s="16" t="s">
        <v>96</v>
      </c>
      <c r="B6" s="16"/>
      <c r="C6" s="4" t="n">
        <v>1</v>
      </c>
    </row>
    <row r="7" customFormat="false" ht="15" hidden="false" customHeight="false" outlineLevel="0" collapsed="false">
      <c r="A7" s="15" t="s">
        <v>97</v>
      </c>
      <c r="B7" s="15"/>
      <c r="C7" s="7" t="n">
        <v>0</v>
      </c>
    </row>
    <row r="8" customFormat="false" ht="15" hidden="false" customHeight="false" outlineLevel="0" collapsed="false">
      <c r="A8" s="10"/>
      <c r="B8" s="10"/>
      <c r="C8" s="10"/>
    </row>
    <row r="9" customFormat="false" ht="19.5" hidden="false" customHeight="true" outlineLevel="0" collapsed="false">
      <c r="A9" s="32" t="s">
        <v>98</v>
      </c>
      <c r="B9" s="32"/>
      <c r="C9" s="32"/>
      <c r="D9" s="32"/>
      <c r="E9" s="32"/>
      <c r="F9" s="32"/>
      <c r="G9" s="32"/>
      <c r="H9" s="32"/>
    </row>
    <row r="10" customFormat="false" ht="15" hidden="false" customHeight="false" outlineLevel="0" collapsed="false">
      <c r="A10" s="16" t="s">
        <v>53</v>
      </c>
      <c r="B10" s="16"/>
      <c r="C10" s="6"/>
    </row>
    <row r="11" customFormat="false" ht="15" hidden="false" customHeight="false" outlineLevel="0" collapsed="false">
      <c r="A11" s="15" t="s">
        <v>19</v>
      </c>
      <c r="B11" s="15"/>
      <c r="C11" s="7" t="n">
        <v>500</v>
      </c>
    </row>
    <row r="12" customFormat="false" ht="15" hidden="false" customHeight="false" outlineLevel="0" collapsed="false">
      <c r="A12" s="16" t="s">
        <v>99</v>
      </c>
      <c r="B12" s="16"/>
      <c r="C12" s="6" t="s">
        <v>100</v>
      </c>
    </row>
    <row r="13" customFormat="false" ht="15" hidden="false" customHeight="false" outlineLevel="0" collapsed="false">
      <c r="A13" s="15" t="s">
        <v>101</v>
      </c>
      <c r="B13" s="15"/>
      <c r="C13" s="7" t="n">
        <v>2</v>
      </c>
    </row>
    <row r="14" customFormat="false" ht="15" hidden="false" customHeight="false" outlineLevel="0" collapsed="false">
      <c r="A14" s="16" t="s">
        <v>102</v>
      </c>
      <c r="B14" s="16"/>
      <c r="C14" s="6" t="s">
        <v>103</v>
      </c>
    </row>
    <row r="15" customFormat="false" ht="15" hidden="false" customHeight="false" outlineLevel="0" collapsed="false">
      <c r="A15" s="15" t="s">
        <v>59</v>
      </c>
      <c r="B15" s="15"/>
      <c r="C15" s="9" t="s">
        <v>104</v>
      </c>
    </row>
    <row r="16" customFormat="false" ht="15" hidden="false" customHeight="false" outlineLevel="0" collapsed="false">
      <c r="A16" s="16" t="s">
        <v>61</v>
      </c>
      <c r="B16" s="16"/>
      <c r="C16" s="6" t="s">
        <v>105</v>
      </c>
    </row>
    <row r="17" customFormat="false" ht="15" hidden="false" customHeight="false" outlineLevel="0" collapsed="false">
      <c r="A17" s="15" t="s">
        <v>106</v>
      </c>
      <c r="B17" s="15"/>
      <c r="C17" s="9" t="s">
        <v>69</v>
      </c>
    </row>
    <row r="18" customFormat="false" ht="15" hidden="false" customHeight="false" outlineLevel="0" collapsed="false">
      <c r="A18" s="16" t="s">
        <v>107</v>
      </c>
      <c r="B18" s="16"/>
      <c r="C18" s="6" t="s">
        <v>67</v>
      </c>
    </row>
    <row r="19" customFormat="false" ht="15" hidden="false" customHeight="false" outlineLevel="0" collapsed="false">
      <c r="A19" s="15" t="s">
        <v>108</v>
      </c>
      <c r="B19" s="15"/>
      <c r="C19" s="9" t="s">
        <v>12</v>
      </c>
    </row>
    <row r="20" customFormat="false" ht="15" hidden="false" customHeight="false" outlineLevel="0" collapsed="false">
      <c r="A20" s="10"/>
      <c r="B20" s="10"/>
      <c r="C20" s="10"/>
    </row>
    <row r="21" customFormat="false" ht="19.5" hidden="false" customHeight="true" outlineLevel="0" collapsed="false">
      <c r="A21" s="32" t="s">
        <v>109</v>
      </c>
      <c r="B21" s="32"/>
      <c r="C21" s="32"/>
      <c r="D21" s="32"/>
      <c r="E21" s="32"/>
      <c r="F21" s="32"/>
      <c r="G21" s="32"/>
      <c r="H21" s="32"/>
    </row>
    <row r="22" customFormat="false" ht="15" hidden="false" customHeight="false" outlineLevel="0" collapsed="false">
      <c r="A22" s="16" t="s">
        <v>110</v>
      </c>
      <c r="B22" s="16"/>
      <c r="C22" s="4" t="s">
        <v>111</v>
      </c>
    </row>
    <row r="23" customFormat="false" ht="15" hidden="false" customHeight="false" outlineLevel="0" collapsed="false">
      <c r="A23" s="15" t="s">
        <v>112</v>
      </c>
      <c r="B23" s="15"/>
      <c r="C23" s="7" t="s">
        <v>69</v>
      </c>
    </row>
    <row r="24" customFormat="false" ht="15" hidden="false" customHeight="false" outlineLevel="0" collapsed="false">
      <c r="A24" s="16" t="s">
        <v>68</v>
      </c>
      <c r="B24" s="16"/>
      <c r="C24" s="4" t="s">
        <v>69</v>
      </c>
    </row>
    <row r="25" customFormat="false" ht="15" hidden="false" customHeight="false" outlineLevel="0" collapsed="false">
      <c r="A25" s="15" t="s">
        <v>113</v>
      </c>
      <c r="B25" s="15"/>
      <c r="C25" s="7" t="s">
        <v>69</v>
      </c>
    </row>
    <row r="26" customFormat="false" ht="15" hidden="false" customHeight="false" outlineLevel="0" collapsed="false">
      <c r="A26" s="16" t="s">
        <v>114</v>
      </c>
      <c r="B26" s="16"/>
      <c r="C26" s="4" t="s">
        <v>67</v>
      </c>
    </row>
    <row r="27" customFormat="false" ht="15" hidden="false" customHeight="false" outlineLevel="0" collapsed="false">
      <c r="A27" s="10"/>
      <c r="B27" s="10"/>
      <c r="C27" s="10"/>
    </row>
    <row r="28" customFormat="false" ht="19.5" hidden="false" customHeight="true" outlineLevel="0" collapsed="false">
      <c r="A28" s="17" t="s">
        <v>73</v>
      </c>
      <c r="B28" s="17"/>
      <c r="C28" s="17"/>
      <c r="D28" s="17"/>
      <c r="E28" s="17"/>
      <c r="F28" s="17"/>
      <c r="G28" s="17"/>
      <c r="H28" s="17"/>
    </row>
    <row r="29" customFormat="false" ht="15" hidden="false" customHeight="false" outlineLevel="0" collapsed="false">
      <c r="A29" s="22" t="s">
        <v>86</v>
      </c>
      <c r="B29" s="22"/>
      <c r="C29" s="23" t="n">
        <v>150</v>
      </c>
    </row>
    <row r="30" customFormat="false" ht="15" hidden="false" customHeight="false" outlineLevel="0" collapsed="false">
      <c r="A30" s="16" t="s">
        <v>115</v>
      </c>
      <c r="B30" s="16"/>
      <c r="C30" s="19" t="n">
        <f aca="false">IF(C5&lt;1,2,IF(C5&lt;2,1.5,IF(C5&lt;3,1.25,1)))</f>
        <v>1</v>
      </c>
    </row>
    <row r="31" customFormat="false" ht="15" hidden="false" customHeight="false" outlineLevel="0" collapsed="false">
      <c r="A31" s="15" t="s">
        <v>75</v>
      </c>
      <c r="B31" s="15"/>
      <c r="C31" s="18" t="n">
        <f aca="false">MIN(3.5,MAX(0.5,IF(C7=0,C6*0.95,C6*1.25^C7)))</f>
        <v>0.95</v>
      </c>
    </row>
    <row r="32" customFormat="false" ht="15" hidden="false" customHeight="false" outlineLevel="0" collapsed="false">
      <c r="A32" s="16" t="s">
        <v>116</v>
      </c>
      <c r="B32" s="16"/>
      <c r="C32" s="19" t="n">
        <f aca="false">IFERROR(VLOOKUP(C11,Tables_Tarifs!$A$17:$B$23,2,TRUE()),1)</f>
        <v>1</v>
      </c>
    </row>
    <row r="33" customFormat="false" ht="15" hidden="false" customHeight="false" outlineLevel="0" collapsed="false">
      <c r="A33" s="15" t="s">
        <v>117</v>
      </c>
      <c r="B33" s="15"/>
      <c r="C33" s="18" t="n">
        <f aca="false">IF(C12="Sportive",1.3,IF(C12="Scooter",0.9,1))</f>
        <v>1</v>
      </c>
    </row>
    <row r="34" customFormat="false" ht="15" hidden="false" customHeight="false" outlineLevel="0" collapsed="false">
      <c r="A34" s="16" t="s">
        <v>77</v>
      </c>
      <c r="B34" s="16"/>
      <c r="C34" s="19" t="n">
        <f aca="false">IF(C14="Livraison",1.4,IF(C14="Professionnel",1.2,1))</f>
        <v>1</v>
      </c>
    </row>
    <row r="35" customFormat="false" ht="15" hidden="false" customHeight="false" outlineLevel="0" collapsed="false">
      <c r="A35" s="15" t="s">
        <v>118</v>
      </c>
      <c r="B35" s="15"/>
      <c r="C35" s="18" t="n">
        <f aca="false">IF(C15="Rue",1.35,IF(C15="Parking couvert",1.15,IF(C15="Garage privé",0.95,0.9)))</f>
        <v>0.9</v>
      </c>
    </row>
    <row r="36" customFormat="false" ht="15" hidden="false" customHeight="false" outlineLevel="0" collapsed="false">
      <c r="A36" s="16" t="s">
        <v>119</v>
      </c>
      <c r="B36" s="16"/>
      <c r="C36" s="19" t="n">
        <f aca="false">IF(C16="Urbaine",1.2,IF(C16="Péri-urbaine",1.08,1))</f>
        <v>1.08</v>
      </c>
    </row>
    <row r="37" customFormat="false" ht="15" hidden="false" customHeight="false" outlineLevel="0" collapsed="false">
      <c r="A37" s="15" t="s">
        <v>120</v>
      </c>
      <c r="B37" s="15"/>
      <c r="C37" s="18" t="n">
        <f aca="false">IF(C17="OUI",0.9,1)</f>
        <v>0.9</v>
      </c>
    </row>
    <row r="38" customFormat="false" ht="15" hidden="false" customHeight="false" outlineLevel="0" collapsed="false">
      <c r="A38" s="16" t="s">
        <v>121</v>
      </c>
      <c r="B38" s="16"/>
      <c r="C38" s="19" t="n">
        <f aca="false">IF(C18="OUI",0.95,1)</f>
        <v>1</v>
      </c>
    </row>
    <row r="39" customFormat="false" ht="15" hidden="false" customHeight="false" outlineLevel="0" collapsed="false">
      <c r="A39" s="15" t="s">
        <v>78</v>
      </c>
      <c r="B39" s="15"/>
      <c r="C39" s="18" t="n">
        <f aca="false">IFERROR(VLOOKUP(C19,Tables_Tarifs!$G$4:$H$9,2,FALSE()),1)</f>
        <v>1</v>
      </c>
    </row>
    <row r="40" customFormat="false" ht="15" hidden="false" customHeight="false" outlineLevel="0" collapsed="false">
      <c r="A40" s="16" t="s">
        <v>122</v>
      </c>
      <c r="B40" s="16"/>
      <c r="C40" s="19" t="n">
        <f aca="false">IF(C22="Tous risques",1.5,IF(C22="Intermédiaire",1.2,1))</f>
        <v>1.2</v>
      </c>
    </row>
    <row r="41" customFormat="false" ht="15" hidden="false" customHeight="false" outlineLevel="0" collapsed="false">
      <c r="A41" s="15" t="s">
        <v>123</v>
      </c>
      <c r="B41" s="15"/>
      <c r="C41" s="21" t="n">
        <f aca="false">IF(C23="OUI",25,0)</f>
        <v>25</v>
      </c>
    </row>
    <row r="42" customFormat="false" ht="15" hidden="false" customHeight="false" outlineLevel="0" collapsed="false">
      <c r="A42" s="16" t="s">
        <v>82</v>
      </c>
      <c r="B42" s="16"/>
      <c r="C42" s="20" t="n">
        <f aca="false">IF(C24="OUI",15,0)</f>
        <v>15</v>
      </c>
    </row>
    <row r="43" customFormat="false" ht="15" hidden="false" customHeight="false" outlineLevel="0" collapsed="false">
      <c r="A43" s="15" t="s">
        <v>83</v>
      </c>
      <c r="B43" s="15"/>
      <c r="C43" s="21" t="n">
        <f aca="false">IF(C25="OUI",12,0)</f>
        <v>12</v>
      </c>
    </row>
    <row r="44" customFormat="false" ht="15" hidden="false" customHeight="false" outlineLevel="0" collapsed="false">
      <c r="A44" s="16" t="s">
        <v>85</v>
      </c>
      <c r="B44" s="16"/>
      <c r="C44" s="19" t="n">
        <f aca="false">IF(C26="OUI",0.95,1)</f>
        <v>1</v>
      </c>
    </row>
    <row r="45" customFormat="false" ht="15" hidden="false" customHeight="false" outlineLevel="0" collapsed="false">
      <c r="A45" s="10"/>
      <c r="B45" s="10"/>
      <c r="C45" s="10"/>
    </row>
    <row r="46" customFormat="false" ht="15" hidden="false" customHeight="false" outlineLevel="0" collapsed="false">
      <c r="A46" s="24" t="s">
        <v>87</v>
      </c>
      <c r="B46" s="24"/>
      <c r="C46" s="25" t="n">
        <f aca="false">ROUND((C29*C30*C31*C32*C33*C34*C35*C36*C37*C38*C39*C40+C41+C42+C43)*C44,2)</f>
        <v>201.59</v>
      </c>
    </row>
    <row r="47" customFormat="false" ht="15" hidden="false" customHeight="false" outlineLevel="0" collapsed="false">
      <c r="A47" s="26" t="s">
        <v>124</v>
      </c>
      <c r="B47" s="26"/>
      <c r="C47" s="27" t="n">
        <f aca="false">ROUND(C46/12,2)</f>
        <v>16.8</v>
      </c>
    </row>
  </sheetData>
  <mergeCells count="43">
    <mergeCell ref="A1:H1"/>
    <mergeCell ref="A2:H2"/>
    <mergeCell ref="A3:B3"/>
    <mergeCell ref="A4:B4"/>
    <mergeCell ref="A5:B5"/>
    <mergeCell ref="A6:B6"/>
    <mergeCell ref="A7:B7"/>
    <mergeCell ref="A9:H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1:H21"/>
    <mergeCell ref="A22:B22"/>
    <mergeCell ref="A23:B23"/>
    <mergeCell ref="A24:B24"/>
    <mergeCell ref="A25:B25"/>
    <mergeCell ref="A26:B26"/>
    <mergeCell ref="A28:H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6:B46"/>
    <mergeCell ref="A47:B47"/>
  </mergeCells>
  <dataValidations count="7">
    <dataValidation allowBlank="false" errorStyle="stop" operator="between" showDropDown="false" showErrorMessage="false" showInputMessage="false" sqref="C12" type="list">
      <formula1>"Scooter,Roadster,Routière,Sportive,Custom,Trail,Autre"</formula1>
      <formula2>0</formula2>
    </dataValidation>
    <dataValidation allowBlank="false" errorStyle="stop" operator="between" showDropDown="false" showErrorMessage="false" showInputMessage="false" sqref="C19" type="list">
      <formula1>"&lt; 8 000,8 001–12 000,12 001–15 000,15 001–20 000,20 001–25 000,&gt; 25 000"</formula1>
      <formula2>0</formula2>
    </dataValidation>
    <dataValidation allowBlank="false" errorStyle="stop" operator="between" showDropDown="false" showErrorMessage="false" showInputMessage="false" sqref="C15" type="list">
      <formula1>"Box fermé,Garage privé,Parking couvert,Rue"</formula1>
      <formula2>0</formula2>
    </dataValidation>
    <dataValidation allowBlank="false" errorStyle="stop" operator="between" showDropDown="false" showErrorMessage="false" showInputMessage="false" sqref="C16" type="list">
      <formula1>"Urbaine,Péri-urbaine,Rurale"</formula1>
      <formula2>0</formula2>
    </dataValidation>
    <dataValidation allowBlank="false" errorStyle="stop" operator="between" showDropDown="false" showErrorMessage="false" showInputMessage="false" sqref="C14" type="list">
      <formula1>"Loisir,Domicile-Travail,Professionnel,Livraison"</formula1>
      <formula2>0</formula2>
    </dataValidation>
    <dataValidation allowBlank="false" errorStyle="stop" operator="between" showDropDown="false" showErrorMessage="false" showInputMessage="false" sqref="C17:C18 C23:C26" type="list">
      <formula1>"OUI,NON"</formula1>
      <formula2>0</formula2>
    </dataValidation>
    <dataValidation allowBlank="false" errorStyle="stop" operator="between" showDropDown="false" showErrorMessage="false" showInputMessage="false" sqref="C22" type="list">
      <formula1>"Tiers simple,Intermédiaire,Tous risques"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18"/>
  </cols>
  <sheetData>
    <row r="1" customFormat="false" ht="31.5" hidden="false" customHeight="true" outlineLevel="0" collapsed="false">
      <c r="A1" s="33" t="s">
        <v>125</v>
      </c>
      <c r="B1" s="33"/>
      <c r="C1" s="33"/>
      <c r="D1" s="33"/>
      <c r="E1" s="33"/>
      <c r="F1" s="33"/>
      <c r="G1" s="33"/>
      <c r="H1" s="33"/>
    </row>
    <row r="2" customFormat="false" ht="19.5" hidden="false" customHeight="true" outlineLevel="0" collapsed="false">
      <c r="A2" s="17" t="s">
        <v>126</v>
      </c>
      <c r="B2" s="17"/>
      <c r="C2" s="17"/>
      <c r="D2" s="17"/>
      <c r="E2" s="17"/>
      <c r="F2" s="17"/>
      <c r="G2" s="17"/>
      <c r="H2" s="17"/>
    </row>
    <row r="3" customFormat="false" ht="15" hidden="false" customHeight="false" outlineLevel="0" collapsed="false">
      <c r="A3" s="15" t="s">
        <v>93</v>
      </c>
      <c r="B3" s="15"/>
      <c r="C3" s="7"/>
    </row>
    <row r="4" customFormat="false" ht="15" hidden="false" customHeight="false" outlineLevel="0" collapsed="false">
      <c r="A4" s="16" t="s">
        <v>127</v>
      </c>
      <c r="B4" s="16"/>
      <c r="C4" s="4" t="n">
        <v>2</v>
      </c>
    </row>
    <row r="5" customFormat="false" ht="15" hidden="false" customHeight="false" outlineLevel="0" collapsed="false">
      <c r="A5" s="10"/>
      <c r="B5" s="10"/>
      <c r="C5" s="10"/>
    </row>
    <row r="6" customFormat="false" ht="19.5" hidden="false" customHeight="true" outlineLevel="0" collapsed="false">
      <c r="A6" s="17" t="s">
        <v>128</v>
      </c>
      <c r="B6" s="17"/>
      <c r="C6" s="17"/>
      <c r="D6" s="17"/>
      <c r="E6" s="17"/>
      <c r="F6" s="17"/>
      <c r="G6" s="17"/>
      <c r="H6" s="17"/>
    </row>
    <row r="7" customFormat="false" ht="15" hidden="false" customHeight="false" outlineLevel="0" collapsed="false">
      <c r="A7" s="15" t="s">
        <v>129</v>
      </c>
      <c r="B7" s="15"/>
      <c r="C7" s="9" t="s">
        <v>130</v>
      </c>
    </row>
    <row r="8" customFormat="false" ht="15" hidden="false" customHeight="false" outlineLevel="0" collapsed="false">
      <c r="A8" s="16" t="s">
        <v>131</v>
      </c>
      <c r="B8" s="16"/>
      <c r="C8" s="6" t="s">
        <v>132</v>
      </c>
    </row>
    <row r="9" customFormat="false" ht="15" hidden="false" customHeight="false" outlineLevel="0" collapsed="false">
      <c r="A9" s="15" t="s">
        <v>102</v>
      </c>
      <c r="B9" s="15"/>
      <c r="C9" s="9" t="s">
        <v>133</v>
      </c>
    </row>
    <row r="10" customFormat="false" ht="15" hidden="false" customHeight="false" outlineLevel="0" collapsed="false">
      <c r="A10" s="16" t="s">
        <v>134</v>
      </c>
      <c r="B10" s="16"/>
      <c r="C10" s="4" t="n">
        <v>65</v>
      </c>
    </row>
    <row r="11" customFormat="false" ht="15" hidden="false" customHeight="false" outlineLevel="0" collapsed="false">
      <c r="A11" s="15" t="s">
        <v>135</v>
      </c>
      <c r="B11" s="15"/>
      <c r="C11" s="7" t="n">
        <v>3</v>
      </c>
    </row>
    <row r="12" customFormat="false" ht="15" hidden="false" customHeight="false" outlineLevel="0" collapsed="false">
      <c r="A12" s="16" t="s">
        <v>136</v>
      </c>
      <c r="B12" s="16"/>
      <c r="C12" s="4" t="n">
        <v>1990</v>
      </c>
    </row>
    <row r="13" customFormat="false" ht="15" hidden="false" customHeight="false" outlineLevel="0" collapsed="false">
      <c r="A13" s="15" t="s">
        <v>137</v>
      </c>
      <c r="B13" s="15"/>
      <c r="C13" s="7" t="n">
        <v>3</v>
      </c>
    </row>
    <row r="14" customFormat="false" ht="15" hidden="false" customHeight="false" outlineLevel="0" collapsed="false">
      <c r="A14" s="16" t="s">
        <v>61</v>
      </c>
      <c r="B14" s="16"/>
      <c r="C14" s="6" t="s">
        <v>62</v>
      </c>
    </row>
    <row r="15" customFormat="false" ht="15" hidden="false" customHeight="false" outlineLevel="0" collapsed="false">
      <c r="A15" s="15" t="s">
        <v>138</v>
      </c>
      <c r="B15" s="15"/>
      <c r="C15" s="9" t="s">
        <v>67</v>
      </c>
    </row>
    <row r="16" customFormat="false" ht="15" hidden="false" customHeight="false" outlineLevel="0" collapsed="false">
      <c r="A16" s="10"/>
      <c r="B16" s="10"/>
      <c r="C16" s="10"/>
    </row>
    <row r="17" customFormat="false" ht="19.5" hidden="false" customHeight="true" outlineLevel="0" collapsed="false">
      <c r="A17" s="17" t="s">
        <v>139</v>
      </c>
      <c r="B17" s="17"/>
      <c r="C17" s="17"/>
      <c r="D17" s="17"/>
      <c r="E17" s="17"/>
      <c r="F17" s="17"/>
      <c r="G17" s="17"/>
      <c r="H17" s="17"/>
    </row>
    <row r="18" customFormat="false" ht="15" hidden="false" customHeight="false" outlineLevel="0" collapsed="false">
      <c r="A18" s="16" t="s">
        <v>140</v>
      </c>
      <c r="B18" s="16"/>
      <c r="C18" s="11" t="n">
        <v>40000</v>
      </c>
    </row>
    <row r="19" customFormat="false" ht="15" hidden="false" customHeight="false" outlineLevel="0" collapsed="false">
      <c r="A19" s="15" t="s">
        <v>141</v>
      </c>
      <c r="B19" s="15"/>
      <c r="C19" s="12" t="n">
        <v>300</v>
      </c>
    </row>
    <row r="20" customFormat="false" ht="15" hidden="false" customHeight="false" outlineLevel="0" collapsed="false">
      <c r="A20" s="16" t="s">
        <v>142</v>
      </c>
      <c r="B20" s="16"/>
      <c r="C20" s="4" t="s">
        <v>69</v>
      </c>
    </row>
    <row r="21" customFormat="false" ht="15" hidden="false" customHeight="false" outlineLevel="0" collapsed="false">
      <c r="A21" s="15" t="s">
        <v>143</v>
      </c>
      <c r="B21" s="15"/>
      <c r="C21" s="7" t="s">
        <v>67</v>
      </c>
    </row>
    <row r="22" customFormat="false" ht="15" hidden="false" customHeight="false" outlineLevel="0" collapsed="false">
      <c r="A22" s="16" t="s">
        <v>144</v>
      </c>
      <c r="B22" s="16"/>
      <c r="C22" s="4" t="s">
        <v>69</v>
      </c>
    </row>
    <row r="23" customFormat="false" ht="15" hidden="false" customHeight="false" outlineLevel="0" collapsed="false">
      <c r="A23" s="15" t="s">
        <v>145</v>
      </c>
      <c r="B23" s="15"/>
      <c r="C23" s="7" t="s">
        <v>67</v>
      </c>
    </row>
    <row r="24" customFormat="false" ht="15" hidden="false" customHeight="false" outlineLevel="0" collapsed="false">
      <c r="A24" s="10"/>
      <c r="B24" s="10"/>
      <c r="C24" s="10"/>
    </row>
    <row r="25" customFormat="false" ht="19.5" hidden="false" customHeight="true" outlineLevel="0" collapsed="false">
      <c r="A25" s="17" t="s">
        <v>146</v>
      </c>
      <c r="B25" s="17"/>
      <c r="C25" s="17"/>
      <c r="D25" s="17"/>
      <c r="E25" s="17"/>
      <c r="F25" s="17"/>
      <c r="G25" s="17"/>
      <c r="H25" s="17"/>
    </row>
    <row r="26" customFormat="false" ht="15" hidden="false" customHeight="false" outlineLevel="0" collapsed="false">
      <c r="A26" s="16" t="s">
        <v>110</v>
      </c>
      <c r="B26" s="16"/>
      <c r="C26" s="4" t="s">
        <v>147</v>
      </c>
    </row>
    <row r="27" customFormat="false" ht="15" hidden="false" customHeight="false" outlineLevel="0" collapsed="false">
      <c r="A27" s="15" t="s">
        <v>148</v>
      </c>
      <c r="B27" s="15"/>
      <c r="C27" s="7" t="s">
        <v>69</v>
      </c>
    </row>
    <row r="28" customFormat="false" ht="15" hidden="false" customHeight="false" outlineLevel="0" collapsed="false">
      <c r="A28" s="16" t="s">
        <v>71</v>
      </c>
      <c r="B28" s="16"/>
      <c r="C28" s="4" t="s">
        <v>67</v>
      </c>
    </row>
    <row r="29" customFormat="false" ht="15" hidden="false" customHeight="false" outlineLevel="0" collapsed="false">
      <c r="A29" s="15" t="s">
        <v>149</v>
      </c>
      <c r="B29" s="15"/>
      <c r="C29" s="7" t="s">
        <v>67</v>
      </c>
    </row>
    <row r="30" customFormat="false" ht="15" hidden="false" customHeight="false" outlineLevel="0" collapsed="false">
      <c r="A30" s="10"/>
      <c r="B30" s="10"/>
      <c r="C30" s="10"/>
    </row>
    <row r="31" customFormat="false" ht="19.5" hidden="false" customHeight="true" outlineLevel="0" collapsed="false">
      <c r="A31" s="17" t="s">
        <v>150</v>
      </c>
      <c r="B31" s="17"/>
      <c r="C31" s="17"/>
      <c r="D31" s="17"/>
      <c r="E31" s="17"/>
      <c r="F31" s="17"/>
      <c r="G31" s="17"/>
      <c r="H31" s="17"/>
    </row>
    <row r="32" customFormat="false" ht="15" hidden="false" customHeight="false" outlineLevel="0" collapsed="false">
      <c r="A32" s="16" t="s">
        <v>151</v>
      </c>
      <c r="B32" s="16"/>
      <c r="C32" s="20" t="n">
        <f aca="false">IFERROR(VLOOKUP(C10,Tables_Tarifs!$D$17:$E$24,2,TRUE()),110)</f>
        <v>110</v>
      </c>
    </row>
    <row r="33" customFormat="false" ht="15" hidden="false" customHeight="false" outlineLevel="0" collapsed="false">
      <c r="A33" s="15" t="s">
        <v>152</v>
      </c>
      <c r="B33" s="15"/>
      <c r="C33" s="18" t="n">
        <f aca="false">IF(C7="Maison",1.25,1)</f>
        <v>1</v>
      </c>
    </row>
    <row r="34" customFormat="false" ht="15" hidden="false" customHeight="false" outlineLevel="0" collapsed="false">
      <c r="A34" s="16" t="s">
        <v>153</v>
      </c>
      <c r="B34" s="16"/>
      <c r="C34" s="19" t="n">
        <f aca="false">IF(C8="Propriétaire non-occupant",0.85,IF(C8="Propriétaire occupant",1.1,1))</f>
        <v>1</v>
      </c>
    </row>
    <row r="35" customFormat="false" ht="15" hidden="false" customHeight="false" outlineLevel="0" collapsed="false">
      <c r="A35" s="15" t="s">
        <v>77</v>
      </c>
      <c r="B35" s="15"/>
      <c r="C35" s="18" t="n">
        <f aca="false">IF(C9="Résidence secondaire",1.2,IF(C9="Mise en location",1.15,1))</f>
        <v>1</v>
      </c>
    </row>
    <row r="36" customFormat="false" ht="15" hidden="false" customHeight="false" outlineLevel="0" collapsed="false">
      <c r="A36" s="16" t="s">
        <v>154</v>
      </c>
      <c r="B36" s="16"/>
      <c r="C36" s="19" t="n">
        <f aca="false">IFERROR(VLOOKUP(C18,Tables_Tarifs!$G$17:$H$22,2,TRUE()),1)</f>
        <v>1</v>
      </c>
    </row>
    <row r="37" customFormat="false" ht="15" hidden="false" customHeight="false" outlineLevel="0" collapsed="false">
      <c r="A37" s="15" t="s">
        <v>79</v>
      </c>
      <c r="B37" s="15"/>
      <c r="C37" s="18" t="n">
        <f aca="false">IF(C14="Urbaine",1.15,IF(C14="Péri-urbaine",1.05,1))</f>
        <v>1.15</v>
      </c>
    </row>
    <row r="38" customFormat="false" ht="15" hidden="false" customHeight="false" outlineLevel="0" collapsed="false">
      <c r="A38" s="16" t="s">
        <v>155</v>
      </c>
      <c r="B38" s="16"/>
      <c r="C38" s="19" t="n">
        <f aca="false">IF(C15="OUI",1.25,1)</f>
        <v>1</v>
      </c>
    </row>
    <row r="39" customFormat="false" ht="15" hidden="false" customHeight="false" outlineLevel="0" collapsed="false">
      <c r="A39" s="15" t="s">
        <v>156</v>
      </c>
      <c r="B39" s="15"/>
      <c r="C39" s="18" t="n">
        <f aca="false">IF(C20="OUI",0.92,1)</f>
        <v>0.92</v>
      </c>
    </row>
    <row r="40" customFormat="false" ht="15" hidden="false" customHeight="false" outlineLevel="0" collapsed="false">
      <c r="A40" s="16" t="s">
        <v>157</v>
      </c>
      <c r="B40" s="16"/>
      <c r="C40" s="19" t="n">
        <f aca="false">IF(C21="OUI",0.96,1)</f>
        <v>1</v>
      </c>
    </row>
    <row r="41" customFormat="false" ht="15" hidden="false" customHeight="false" outlineLevel="0" collapsed="false">
      <c r="A41" s="15" t="s">
        <v>122</v>
      </c>
      <c r="B41" s="15"/>
      <c r="C41" s="18" t="n">
        <f aca="false">IF(C26="Tous risques",1.4,IF(C26="Multirisque habitation",1.15,1))</f>
        <v>1.15</v>
      </c>
    </row>
    <row r="42" customFormat="false" ht="15" hidden="false" customHeight="false" outlineLevel="0" collapsed="false">
      <c r="A42" s="16" t="s">
        <v>158</v>
      </c>
      <c r="B42" s="16"/>
      <c r="C42" s="20" t="n">
        <f aca="false">IF(C27="OUI",25,0)</f>
        <v>25</v>
      </c>
    </row>
    <row r="43" customFormat="false" ht="15" hidden="false" customHeight="false" outlineLevel="0" collapsed="false">
      <c r="A43" s="15" t="s">
        <v>84</v>
      </c>
      <c r="B43" s="15"/>
      <c r="C43" s="21" t="n">
        <f aca="false">IF(C28="OUI",30,0)</f>
        <v>0</v>
      </c>
    </row>
    <row r="44" customFormat="false" ht="15" hidden="false" customHeight="false" outlineLevel="0" collapsed="false">
      <c r="A44" s="16" t="s">
        <v>159</v>
      </c>
      <c r="B44" s="16"/>
      <c r="C44" s="20" t="n">
        <f aca="false">IF(C29="OUI",50,0)</f>
        <v>0</v>
      </c>
    </row>
    <row r="45" customFormat="false" ht="15" hidden="false" customHeight="false" outlineLevel="0" collapsed="false">
      <c r="A45" s="15" t="s">
        <v>160</v>
      </c>
      <c r="B45" s="15"/>
      <c r="C45" s="18" t="n">
        <f aca="false">IF(C19&gt;=500,0.9,IF(C19&gt;=300,0.95,1))</f>
        <v>0.95</v>
      </c>
    </row>
    <row r="46" customFormat="false" ht="15" hidden="false" customHeight="false" outlineLevel="0" collapsed="false">
      <c r="A46" s="16" t="s">
        <v>85</v>
      </c>
      <c r="B46" s="16"/>
      <c r="C46" s="19" t="n">
        <f aca="false">IF(C23="OUI",0.95,1)</f>
        <v>1</v>
      </c>
    </row>
    <row r="47" customFormat="false" ht="15" hidden="false" customHeight="false" outlineLevel="0" collapsed="false">
      <c r="A47" s="10"/>
      <c r="B47" s="10"/>
      <c r="C47" s="10"/>
    </row>
    <row r="48" customFormat="false" ht="15" hidden="false" customHeight="false" outlineLevel="0" collapsed="false">
      <c r="A48" s="24" t="s">
        <v>87</v>
      </c>
      <c r="B48" s="24"/>
      <c r="C48" s="25" t="n">
        <f aca="false">ROUND((C32*C33*C34*C35*C36*C37*C38*C39*C40*C41+C42+C43+C44)*C45*C46,2)</f>
        <v>150.9</v>
      </c>
    </row>
    <row r="49" customFormat="false" ht="15" hidden="false" customHeight="false" outlineLevel="0" collapsed="false">
      <c r="A49" s="26" t="s">
        <v>124</v>
      </c>
      <c r="B49" s="26"/>
      <c r="C49" s="27" t="n">
        <f aca="false">ROUND(C48/12,2)</f>
        <v>12.58</v>
      </c>
    </row>
  </sheetData>
  <mergeCells count="44">
    <mergeCell ref="A1:H1"/>
    <mergeCell ref="A2:H2"/>
    <mergeCell ref="A3:B3"/>
    <mergeCell ref="A4:B4"/>
    <mergeCell ref="A6:H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7:H17"/>
    <mergeCell ref="A18:B18"/>
    <mergeCell ref="A19:B19"/>
    <mergeCell ref="A20:B20"/>
    <mergeCell ref="A21:B21"/>
    <mergeCell ref="A22:B22"/>
    <mergeCell ref="A23:B23"/>
    <mergeCell ref="A25:H25"/>
    <mergeCell ref="A26:B26"/>
    <mergeCell ref="A27:B27"/>
    <mergeCell ref="A28:B28"/>
    <mergeCell ref="A29:B29"/>
    <mergeCell ref="A31:H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8:B48"/>
    <mergeCell ref="A49:B49"/>
  </mergeCells>
  <dataValidations count="6">
    <dataValidation allowBlank="false" errorStyle="stop" operator="between" showDropDown="false" showErrorMessage="false" showInputMessage="false" sqref="C7" type="list">
      <formula1>"Appartement,Maison"</formula1>
      <formula2>0</formula2>
    </dataValidation>
    <dataValidation allowBlank="false" errorStyle="stop" operator="between" showDropDown="false" showErrorMessage="false" showInputMessage="false" sqref="C8" type="list">
      <formula1>"Locataire,Propriétaire occupant,Propriétaire non-occupant"</formula1>
      <formula2>0</formula2>
    </dataValidation>
    <dataValidation allowBlank="false" errorStyle="stop" operator="between" showDropDown="false" showErrorMessage="false" showInputMessage="false" sqref="C9" type="list">
      <formula1>"Résidence principale,Résidence secondaire,Mise en location"</formula1>
      <formula2>0</formula2>
    </dataValidation>
    <dataValidation allowBlank="false" errorStyle="stop" operator="between" showDropDown="false" showErrorMessage="false" showInputMessage="false" sqref="C14" type="list">
      <formula1>"Urbaine,Péri-urbaine,Rurale"</formula1>
      <formula2>0</formula2>
    </dataValidation>
    <dataValidation allowBlank="false" errorStyle="stop" operator="between" showDropDown="false" showErrorMessage="false" showInputMessage="false" sqref="C15 C20:C23 C27:C29" type="list">
      <formula1>"OUI,NON"</formula1>
      <formula2>0</formula2>
    </dataValidation>
    <dataValidation allowBlank="false" errorStyle="stop" operator="between" showDropDown="false" showErrorMessage="false" showInputMessage="false" sqref="C26" type="list">
      <formula1>"Responsabilité civile seule,Multirisque habitation,Tous risques"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5" min="4" style="0" width="20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31.5" hidden="false" customHeight="true" outlineLevel="0" collapsed="false">
      <c r="A1" s="34" t="s">
        <v>161</v>
      </c>
      <c r="B1" s="34"/>
      <c r="C1" s="34"/>
      <c r="D1" s="34"/>
      <c r="E1" s="34"/>
      <c r="F1" s="34"/>
      <c r="G1" s="34"/>
    </row>
    <row r="3" customFormat="false" ht="21.75" hidden="false" customHeight="true" outlineLevel="0" collapsed="false">
      <c r="A3" s="35" t="s">
        <v>162</v>
      </c>
      <c r="B3" s="35" t="s">
        <v>163</v>
      </c>
      <c r="C3" s="35" t="s">
        <v>110</v>
      </c>
      <c r="D3" s="35" t="s">
        <v>164</v>
      </c>
      <c r="E3" s="35" t="s">
        <v>165</v>
      </c>
      <c r="F3" s="35" t="s">
        <v>166</v>
      </c>
      <c r="G3" s="35" t="s">
        <v>167</v>
      </c>
    </row>
    <row r="4" customFormat="false" ht="15" hidden="false" customHeight="false" outlineLevel="0" collapsed="false">
      <c r="A4" s="36" t="s">
        <v>168</v>
      </c>
      <c r="B4" s="36" t="n">
        <f aca="false">Devis_Auto!C3</f>
        <v>0</v>
      </c>
      <c r="C4" s="36" t="str">
        <f aca="false">Devis_Auto!C19</f>
        <v>Tiers simple</v>
      </c>
      <c r="D4" s="37" t="n">
        <f aca="false">Devis_Auto!C41</f>
        <v>329.98</v>
      </c>
      <c r="E4" s="38" t="n">
        <f aca="false">Devis_Auto!C42</f>
        <v>27.5</v>
      </c>
      <c r="F4" s="39" t="n">
        <f aca="false">Devis_Auto!C28</f>
        <v>0.95</v>
      </c>
      <c r="G4" s="40"/>
    </row>
    <row r="5" customFormat="false" ht="15" hidden="false" customHeight="false" outlineLevel="0" collapsed="false">
      <c r="A5" s="41" t="s">
        <v>169</v>
      </c>
      <c r="B5" s="41" t="n">
        <f aca="false">Devis_Moto!C3</f>
        <v>0</v>
      </c>
      <c r="C5" s="41" t="str">
        <f aca="false">Devis_Moto!C22</f>
        <v>Intermédiaire</v>
      </c>
      <c r="D5" s="42" t="n">
        <f aca="false">Devis_Moto!C46</f>
        <v>201.59</v>
      </c>
      <c r="E5" s="43" t="n">
        <f aca="false">Devis_Moto!C47</f>
        <v>16.8</v>
      </c>
      <c r="F5" s="44" t="n">
        <f aca="false">Devis_Moto!C31</f>
        <v>0.95</v>
      </c>
      <c r="G5" s="45"/>
    </row>
    <row r="6" customFormat="false" ht="15" hidden="false" customHeight="false" outlineLevel="0" collapsed="false">
      <c r="A6" s="36" t="s">
        <v>170</v>
      </c>
      <c r="B6" s="36" t="n">
        <f aca="false">Devis_Habitation!C3</f>
        <v>0</v>
      </c>
      <c r="C6" s="36" t="str">
        <f aca="false">Devis_Habitation!C26</f>
        <v>Multirisque habitation</v>
      </c>
      <c r="D6" s="37" t="n">
        <f aca="false">Devis_Habitation!C48</f>
        <v>150.9</v>
      </c>
      <c r="E6" s="38" t="n">
        <f aca="false">Devis_Habitation!C49</f>
        <v>12.58</v>
      </c>
      <c r="F6" s="36" t="s">
        <v>171</v>
      </c>
      <c r="G6" s="40"/>
    </row>
    <row r="7" customFormat="false" ht="21.75" hidden="false" customHeight="true" outlineLevel="0" collapsed="false">
      <c r="A7" s="3" t="s">
        <v>172</v>
      </c>
      <c r="B7" s="3"/>
      <c r="C7" s="3"/>
      <c r="D7" s="46" t="n">
        <f aca="false">SUM(D4:D6)</f>
        <v>682.47</v>
      </c>
      <c r="E7" s="46" t="n">
        <f aca="false">SUM(E4:E6)</f>
        <v>56.88</v>
      </c>
      <c r="F7" s="47"/>
      <c r="G7" s="47"/>
    </row>
    <row r="9" customFormat="false" ht="15" hidden="false" customHeight="false" outlineLevel="0" collapsed="false">
      <c r="A9" s="48" t="s">
        <v>173</v>
      </c>
      <c r="B9" s="48"/>
      <c r="C9" s="48"/>
      <c r="D9" s="48"/>
      <c r="E9" s="48"/>
      <c r="F9" s="48"/>
      <c r="G9" s="48"/>
    </row>
  </sheetData>
  <mergeCells count="3">
    <mergeCell ref="A1:G1"/>
    <mergeCell ref="A7:C7"/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4" min="2" style="0" width="20"/>
  </cols>
  <sheetData>
    <row r="1" customFormat="false" ht="31.5" hidden="false" customHeight="true" outlineLevel="0" collapsed="false">
      <c r="A1" s="49" t="s">
        <v>174</v>
      </c>
      <c r="B1" s="49"/>
      <c r="C1" s="49"/>
      <c r="D1" s="49"/>
    </row>
    <row r="2" customFormat="false" ht="15.75" hidden="false" customHeight="true" outlineLevel="0" collapsed="false">
      <c r="A2" s="50" t="s">
        <v>175</v>
      </c>
      <c r="B2" s="50"/>
      <c r="C2" s="50"/>
      <c r="D2" s="50"/>
    </row>
    <row r="3" customFormat="false" ht="15.75" hidden="false" customHeight="true" outlineLevel="0" collapsed="false">
      <c r="A3" s="51" t="s">
        <v>176</v>
      </c>
      <c r="B3" s="51"/>
      <c r="C3" s="51"/>
      <c r="D3" s="51"/>
    </row>
    <row r="4" customFormat="false" ht="15.75" hidden="false" customHeight="true" outlineLevel="0" collapsed="false">
      <c r="A4" s="51" t="s">
        <v>177</v>
      </c>
      <c r="B4" s="51"/>
      <c r="C4" s="51"/>
      <c r="D4" s="51"/>
    </row>
    <row r="5" customFormat="false" ht="15.75" hidden="false" customHeight="true" outlineLevel="0" collapsed="false">
      <c r="A5" s="51" t="s">
        <v>178</v>
      </c>
      <c r="B5" s="51"/>
      <c r="C5" s="51"/>
      <c r="D5" s="51"/>
    </row>
    <row r="6" customFormat="false" ht="15.75" hidden="false" customHeight="true" outlineLevel="0" collapsed="false">
      <c r="A6" s="51" t="s">
        <v>179</v>
      </c>
      <c r="B6" s="51"/>
      <c r="C6" s="51"/>
      <c r="D6" s="51"/>
    </row>
    <row r="7" customFormat="false" ht="15.75" hidden="false" customHeight="true" outlineLevel="0" collapsed="false">
      <c r="A7" s="51" t="s">
        <v>180</v>
      </c>
      <c r="B7" s="51"/>
      <c r="C7" s="51"/>
      <c r="D7" s="51"/>
    </row>
    <row r="8" customFormat="false" ht="15.75" hidden="false" customHeight="true" outlineLevel="0" collapsed="false">
      <c r="A8" s="51"/>
      <c r="B8" s="51"/>
      <c r="C8" s="51"/>
      <c r="D8" s="51"/>
    </row>
    <row r="9" customFormat="false" ht="15.75" hidden="false" customHeight="true" outlineLevel="0" collapsed="false">
      <c r="A9" s="50" t="s">
        <v>181</v>
      </c>
      <c r="B9" s="50"/>
      <c r="C9" s="50"/>
      <c r="D9" s="50"/>
    </row>
    <row r="10" customFormat="false" ht="15.75" hidden="false" customHeight="true" outlineLevel="0" collapsed="false">
      <c r="A10" s="51" t="s">
        <v>182</v>
      </c>
      <c r="B10" s="51"/>
      <c r="C10" s="51"/>
      <c r="D10" s="51"/>
    </row>
    <row r="11" customFormat="false" ht="15.75" hidden="false" customHeight="true" outlineLevel="0" collapsed="false">
      <c r="A11" s="51" t="s">
        <v>183</v>
      </c>
      <c r="B11" s="51"/>
      <c r="C11" s="51"/>
      <c r="D11" s="51"/>
    </row>
    <row r="12" customFormat="false" ht="15.75" hidden="false" customHeight="true" outlineLevel="0" collapsed="false">
      <c r="A12" s="51" t="s">
        <v>184</v>
      </c>
      <c r="B12" s="51"/>
      <c r="C12" s="51"/>
      <c r="D12" s="51"/>
    </row>
    <row r="13" customFormat="false" ht="15.75" hidden="false" customHeight="true" outlineLevel="0" collapsed="false">
      <c r="A13" s="51" t="s">
        <v>185</v>
      </c>
      <c r="B13" s="51"/>
      <c r="C13" s="51"/>
      <c r="D13" s="51"/>
    </row>
    <row r="14" customFormat="false" ht="15.75" hidden="false" customHeight="true" outlineLevel="0" collapsed="false">
      <c r="A14" s="51"/>
      <c r="B14" s="51"/>
      <c r="C14" s="51"/>
      <c r="D14" s="51"/>
    </row>
    <row r="15" customFormat="false" ht="15.75" hidden="false" customHeight="true" outlineLevel="0" collapsed="false">
      <c r="A15" s="50" t="s">
        <v>186</v>
      </c>
      <c r="B15" s="50"/>
      <c r="C15" s="50"/>
      <c r="D15" s="50"/>
    </row>
    <row r="16" customFormat="false" ht="15.75" hidden="false" customHeight="true" outlineLevel="0" collapsed="false">
      <c r="A16" s="51" t="s">
        <v>187</v>
      </c>
      <c r="B16" s="51"/>
      <c r="C16" s="51"/>
      <c r="D16" s="51"/>
    </row>
    <row r="17" customFormat="false" ht="15.75" hidden="false" customHeight="true" outlineLevel="0" collapsed="false">
      <c r="A17" s="51" t="s">
        <v>188</v>
      </c>
      <c r="B17" s="51"/>
      <c r="C17" s="51"/>
      <c r="D17" s="51"/>
    </row>
    <row r="18" customFormat="false" ht="15.75" hidden="false" customHeight="true" outlineLevel="0" collapsed="false">
      <c r="A18" s="51" t="s">
        <v>189</v>
      </c>
      <c r="B18" s="51"/>
      <c r="C18" s="51"/>
      <c r="D18" s="51"/>
    </row>
    <row r="19" customFormat="false" ht="15.75" hidden="false" customHeight="true" outlineLevel="0" collapsed="false">
      <c r="A19" s="52" t="s">
        <v>190</v>
      </c>
      <c r="B19" s="52"/>
      <c r="C19" s="52"/>
      <c r="D19" s="52"/>
    </row>
    <row r="20" customFormat="false" ht="15.75" hidden="false" customHeight="true" outlineLevel="0" collapsed="false">
      <c r="A20" s="51"/>
      <c r="B20" s="51"/>
      <c r="C20" s="51"/>
      <c r="D20" s="51"/>
    </row>
    <row r="21" customFormat="false" ht="15.75" hidden="false" customHeight="true" outlineLevel="0" collapsed="false">
      <c r="A21" s="50" t="s">
        <v>191</v>
      </c>
      <c r="B21" s="50"/>
      <c r="C21" s="50"/>
      <c r="D21" s="50"/>
    </row>
    <row r="22" customFormat="false" ht="15.75" hidden="false" customHeight="true" outlineLevel="0" collapsed="false">
      <c r="A22" s="51" t="s">
        <v>192</v>
      </c>
      <c r="B22" s="51"/>
      <c r="C22" s="51"/>
      <c r="D22" s="51"/>
    </row>
    <row r="23" customFormat="false" ht="15.75" hidden="false" customHeight="true" outlineLevel="0" collapsed="false">
      <c r="A23" s="51" t="s">
        <v>193</v>
      </c>
      <c r="B23" s="51"/>
      <c r="C23" s="51"/>
      <c r="D23" s="51"/>
    </row>
    <row r="24" customFormat="false" ht="15.75" hidden="false" customHeight="true" outlineLevel="0" collapsed="false">
      <c r="A24" s="51" t="s">
        <v>194</v>
      </c>
      <c r="B24" s="51"/>
      <c r="C24" s="51"/>
      <c r="D24" s="51"/>
    </row>
    <row r="25" customFormat="false" ht="15.75" hidden="false" customHeight="true" outlineLevel="0" collapsed="false">
      <c r="A25" s="51" t="s">
        <v>195</v>
      </c>
      <c r="B25" s="51"/>
      <c r="C25" s="51"/>
      <c r="D25" s="51"/>
    </row>
    <row r="26" customFormat="false" ht="15.75" hidden="false" customHeight="true" outlineLevel="0" collapsed="false">
      <c r="A26" s="51"/>
      <c r="B26" s="51"/>
      <c r="C26" s="51"/>
      <c r="D26" s="51"/>
    </row>
    <row r="27" customFormat="false" ht="15.75" hidden="false" customHeight="true" outlineLevel="0" collapsed="false">
      <c r="A27" s="50" t="s">
        <v>196</v>
      </c>
      <c r="B27" s="50"/>
      <c r="C27" s="50"/>
      <c r="D27" s="50"/>
    </row>
    <row r="28" customFormat="false" ht="15.75" hidden="false" customHeight="true" outlineLevel="0" collapsed="false">
      <c r="A28" s="51" t="s">
        <v>197</v>
      </c>
      <c r="B28" s="51"/>
      <c r="C28" s="51"/>
      <c r="D28" s="51"/>
    </row>
    <row r="29" customFormat="false" ht="15.75" hidden="false" customHeight="true" outlineLevel="0" collapsed="false">
      <c r="A29" s="51" t="s">
        <v>198</v>
      </c>
      <c r="B29" s="51"/>
      <c r="C29" s="51"/>
      <c r="D29" s="51"/>
    </row>
    <row r="30" customFormat="false" ht="15.75" hidden="false" customHeight="true" outlineLevel="0" collapsed="false">
      <c r="A30" s="51"/>
      <c r="B30" s="51"/>
      <c r="C30" s="51"/>
      <c r="D30" s="51"/>
    </row>
    <row r="31" customFormat="false" ht="15.75" hidden="false" customHeight="true" outlineLevel="0" collapsed="false">
      <c r="A31" s="53" t="s">
        <v>199</v>
      </c>
      <c r="B31" s="53"/>
      <c r="C31" s="53"/>
      <c r="D31" s="53"/>
    </row>
    <row r="32" customFormat="false" ht="15.75" hidden="false" customHeight="true" outlineLevel="0" collapsed="false">
      <c r="A32" s="51" t="s">
        <v>200</v>
      </c>
      <c r="B32" s="51"/>
      <c r="C32" s="51"/>
      <c r="D32" s="51"/>
    </row>
    <row r="33" customFormat="false" ht="15.75" hidden="false" customHeight="true" outlineLevel="0" collapsed="false">
      <c r="A33" s="51" t="s">
        <v>201</v>
      </c>
      <c r="B33" s="51"/>
      <c r="C33" s="51"/>
      <c r="D33" s="51"/>
    </row>
    <row r="34" customFormat="false" ht="15.75" hidden="false" customHeight="true" outlineLevel="0" collapsed="false">
      <c r="A34" s="51" t="s">
        <v>202</v>
      </c>
      <c r="B34" s="51"/>
      <c r="C34" s="51"/>
      <c r="D34" s="51"/>
    </row>
  </sheetData>
  <mergeCells count="3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2026-04-25T06:24:14Z</dcterms:created>
  <dc:creator>openpyxl</dc:creator>
  <dc:description/>
  <dc:language>en-US</dc:language>
  <cp:lastModifiedBy/>
  <dcterms:modified xsi:type="dcterms:W3CDTF">2026-04-25T06:24:14Z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